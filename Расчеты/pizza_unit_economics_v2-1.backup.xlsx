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Юнит-экономика" sheetId="1" state="visible" r:id="rId3"/>
    <sheet name="Допущения" sheetId="2" state="visible" r:id="rId4"/>
    <sheet name="P&amp;L Детальный" sheetId="3" state="visible" r:id="rId5"/>
    <sheet name="Cash Flow" sheetId="4" state="visible" r:id="rId6"/>
    <sheet name="Инвестици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<sst xmlns="http://schemas.openxmlformats.org/spreadsheetml/2006/main" count="449" uniqueCount="374">
  <si>
    <t xml:space="preserve">ЮНИТ-ЭКОНОМИКА  ·  Персональная пицца 22 см  ·  B2B СПб</t>
  </si>
  <si>
    <t xml:space="preserve">■ Синий = вводная цифра (можно менять)   ■ Чёрный = формула</t>
  </si>
  <si>
    <t xml:space="preserve">Статья</t>
  </si>
  <si>
    <t xml:space="preserve">Маргарита</t>
  </si>
  <si>
    <t xml:space="preserve">Пепперони</t>
  </si>
  <si>
    <t xml:space="preserve">С грибами</t>
  </si>
  <si>
    <t xml:space="preserve">Средняя (mix)</t>
  </si>
  <si>
    <t xml:space="preserve">Комментарий</t>
  </si>
  <si>
    <t xml:space="preserve">A. СЕБЕСТОИМОСТЬ ИНГРЕДИЕНТОВ (руб./шт.)</t>
  </si>
  <si>
    <t xml:space="preserve">Тесто (мука, вода, дрожжи, соль, масло)</t>
  </si>
  <si>
    <t xml:space="preserve">Длительная ферментация 24–48 ч, российская мука</t>
  </si>
  <si>
    <t xml:space="preserve">Томатный соус</t>
  </si>
  <si>
    <t xml:space="preserve">Пассата / томаты в собственном соку</t>
  </si>
  <si>
    <t xml:space="preserve">Сыр моцарелла</t>
  </si>
  <si>
    <t xml:space="preserve">Российский производитель</t>
  </si>
  <si>
    <t xml:space="preserve">Пепперони (колбаса)</t>
  </si>
  <si>
    <t xml:space="preserve">Мясной компонент → Меркурий</t>
  </si>
  <si>
    <t xml:space="preserve">Грибы шампиньоны</t>
  </si>
  <si>
    <t xml:space="preserve">Свежие или маринованные</t>
  </si>
  <si>
    <t xml:space="preserve">Оливковое масло, специи, базилик</t>
  </si>
  <si>
    <t xml:space="preserve">Финишная отделка</t>
  </si>
  <si>
    <t xml:space="preserve">Доля в продажах (mix %)</t>
  </si>
  <si>
    <t xml:space="preserve">ИТОГО: себестоимость ингредиентов</t>
  </si>
  <si>
    <t xml:space="preserve">Взвешенная по mix (40/40/20)</t>
  </si>
  <si>
    <t xml:space="preserve">B. ПОЛНАЯ СЕБЕСТОИМОСТЬ ЕДИНИЦЫ (руб./шт.)</t>
  </si>
  <si>
    <t xml:space="preserve">Ингредиенты</t>
  </si>
  <si>
    <t xml:space="preserve">Из раздела А</t>
  </si>
  <si>
    <t xml:space="preserve">Упаковка (коробка, плёнка, стикер)</t>
  </si>
  <si>
    <t xml:space="preserve">Средняя, зависит от тиража</t>
  </si>
  <si>
    <t xml:space="preserve">Брак и производственные потери 6%</t>
  </si>
  <si>
    <t xml:space="preserve">% от себестоимости ингредиентов</t>
  </si>
  <si>
    <t xml:space="preserve">Электроэнергия, вода, расходники</t>
  </si>
  <si>
    <t xml:space="preserve">Расчётная оценка</t>
  </si>
  <si>
    <t xml:space="preserve">Амортизация мелкого инвентаря</t>
  </si>
  <si>
    <t xml:space="preserve">Весы, инструмент</t>
  </si>
  <si>
    <t xml:space="preserve">ИТОГО: полная себестоимость (COGS)</t>
  </si>
  <si>
    <t xml:space="preserve">C. ЦЕНООБРАЗОВАНИЕ И МАРЖА</t>
  </si>
  <si>
    <t xml:space="preserve">Оптовая цена B2B (руб./шт.)</t>
  </si>
  <si>
    <t xml:space="preserve">Единая цена для всех позиций</t>
  </si>
  <si>
    <t xml:space="preserve">Валовая маржа (руб./шт.)</t>
  </si>
  <si>
    <t xml:space="preserve">Цена − COGS</t>
  </si>
  <si>
    <t xml:space="preserve">Валовая маржинальность (%)</t>
  </si>
  <si>
    <t xml:space="preserve">Маржа / Цена</t>
  </si>
  <si>
    <t xml:space="preserve">Наценка заведения x2,3</t>
  </si>
  <si>
    <t xml:space="preserve">Цена в меню бара</t>
  </si>
  <si>
    <t xml:space="preserve">Наценка заведения x2,5</t>
  </si>
  <si>
    <t xml:space="preserve">Цена в меню (оптимистично)</t>
  </si>
  <si>
    <t xml:space="preserve">D. ТОЧКА БЕЗУБЫТОЧНОСТИ (партнёрская модель, аренда = 0)</t>
  </si>
  <si>
    <t xml:space="preserve">Постоянные расходы в месяц (руб.)</t>
  </si>
  <si>
    <t xml:space="preserve">Прочие расходы; аренда = 0 (партнёр)</t>
  </si>
  <si>
    <t xml:space="preserve">Средняя маржа с пиццы (руб./шт.)</t>
  </si>
  <si>
    <t xml:space="preserve">Из строки «Валовая маржа», средняя</t>
  </si>
  <si>
    <t xml:space="preserve">ТБУ: штук в месяц</t>
  </si>
  <si>
    <t xml:space="preserve">Постоянные / Средняя маржа</t>
  </si>
  <si>
    <t xml:space="preserve">ТБУ: клиентов при заказе 43 шт./мес.</t>
  </si>
  <si>
    <t xml:space="preserve">Штук ÷ 43</t>
  </si>
  <si>
    <t xml:space="preserve">ТБУ: выручка в месяц (руб.)</t>
  </si>
  <si>
    <t xml:space="preserve">Штук × Оптовая цена</t>
  </si>
  <si>
    <t xml:space="preserve">E. ЭКОНОМИКА ОДНОГО B2B-КЛИЕНТА (в месяц)</t>
  </si>
  <si>
    <t xml:space="preserve">Заказов в неделю (пицц)</t>
  </si>
  <si>
    <t xml:space="preserve">Средний клиент</t>
  </si>
  <si>
    <t xml:space="preserve">Заказов в месяц (пицц)</t>
  </si>
  <si>
    <t xml:space="preserve">×4,3 недели</t>
  </si>
  <si>
    <t xml:space="preserve">Выручка от клиента (руб./мес.)</t>
  </si>
  <si>
    <t xml:space="preserve">Переменные затраты (руб./мес.)</t>
  </si>
  <si>
    <t xml:space="preserve">Штук × COGS средняя</t>
  </si>
  <si>
    <t xml:space="preserve">Маржа от клиента (руб./мес.)</t>
  </si>
  <si>
    <t xml:space="preserve">Выручка − Затраты</t>
  </si>
  <si>
    <t xml:space="preserve">F. БЫСТРЫЙ P&amp;L: ЧТО МЕНЯЕТСЯ ПРИ РОСТЕ ЧИСЛА КЛИЕНТОВ</t>
  </si>
  <si>
    <t xml:space="preserve">Клиентов</t>
  </si>
  <si>
    <t xml:space="preserve">Пицц/мес.</t>
  </si>
  <si>
    <t xml:space="preserve">Выручка</t>
  </si>
  <si>
    <t xml:space="preserve">COGS</t>
  </si>
  <si>
    <t xml:space="preserve">Вал. маржа</t>
  </si>
  <si>
    <t xml:space="preserve">Чистая маржа*</t>
  </si>
  <si>
    <t xml:space="preserve">* Чистая маржа = (Валовая маржа − Постоянные расходы) × (1 − УСН 15%). Аренда = 0 (партнёрская модель).</t>
  </si>
  <si>
    <t xml:space="preserve">ДОПУЩЕНИЯ И ИСТОЧНИКИ</t>
  </si>
  <si>
    <t xml:space="preserve">ПРОДУКТ</t>
  </si>
  <si>
    <t xml:space="preserve">Диаметр пиццы</t>
  </si>
  <si>
    <t xml:space="preserve">22 см</t>
  </si>
  <si>
    <t xml:space="preserve">Персональный формат для B2B</t>
  </si>
  <si>
    <t xml:space="preserve">Метод замораживания</t>
  </si>
  <si>
    <t xml:space="preserve">Шоковая заморозка</t>
  </si>
  <si>
    <t xml:space="preserve">Оборудование партнёра</t>
  </si>
  <si>
    <t xml:space="preserve">Срок хранения</t>
  </si>
  <si>
    <t xml:space="preserve">3–6 месяцев</t>
  </si>
  <si>
    <t xml:space="preserve">При −18°С</t>
  </si>
  <si>
    <t xml:space="preserve">Время приготовления у клиента</t>
  </si>
  <si>
    <t xml:space="preserve">5–8 мин</t>
  </si>
  <si>
    <t xml:space="preserve">Конвекционная печь 220–230°С</t>
  </si>
  <si>
    <t xml:space="preserve">ИНГРЕДИЕНТЫ</t>
  </si>
  <si>
    <t xml:space="preserve">Мука</t>
  </si>
  <si>
    <t xml:space="preserve">Российская (Макфа, Алейка)</t>
  </si>
  <si>
    <t xml:space="preserve">Замена итальянской → экономия ~15 руб./шт.</t>
  </si>
  <si>
    <t xml:space="preserve">Оптовая закупка</t>
  </si>
  <si>
    <t xml:space="preserve">Процент брака</t>
  </si>
  <si>
    <t xml:space="preserve">6%</t>
  </si>
  <si>
    <t xml:space="preserve">Консервативная оценка для нового производства</t>
  </si>
  <si>
    <t xml:space="preserve">ПРОДАЖИ</t>
  </si>
  <si>
    <t xml:space="preserve">Оптовая цена (все SKU)</t>
  </si>
  <si>
    <t xml:space="preserve">250 руб./шт.</t>
  </si>
  <si>
    <t xml:space="preserve">Единая цена; пересмотр с 6 мес.</t>
  </si>
  <si>
    <t xml:space="preserve">Средний заказ клиента</t>
  </si>
  <si>
    <t xml:space="preserve">10 пицц/неделю</t>
  </si>
  <si>
    <t xml:space="preserve">43 шт./месяц</t>
  </si>
  <si>
    <t xml:space="preserve">Mix продаж (Маргарита / Пепперони / Грибы)</t>
  </si>
  <si>
    <t xml:space="preserve">40% / 40% / 20%</t>
  </si>
  <si>
    <t xml:space="preserve">Оценка на старте</t>
  </si>
  <si>
    <t xml:space="preserve">Наценка заведения в меню</t>
  </si>
  <si>
    <t xml:space="preserve">×2,3–2,5</t>
  </si>
  <si>
    <t xml:space="preserve">Цена гостя ~575–625 руб.</t>
  </si>
  <si>
    <t xml:space="preserve">ОПЕРАЦИОННЫЕ РАСХОДЫ (партнёрская модель)</t>
  </si>
  <si>
    <t xml:space="preserve">Аренда производственного цеха</t>
  </si>
  <si>
    <t xml:space="preserve">0 руб./мес.</t>
  </si>
  <si>
    <t xml:space="preserve">Покрывается партнёром-арендодателем</t>
  </si>
  <si>
    <t xml:space="preserve">Логистика</t>
  </si>
  <si>
    <t xml:space="preserve">0–5 000 руб./мес.</t>
  </si>
  <si>
    <t xml:space="preserve">Инфраструктура партнёра; min расходы на первые доставки</t>
  </si>
  <si>
    <t xml:space="preserve">Прочие расходы</t>
  </si>
  <si>
    <t xml:space="preserve">10 000 руб./мес.</t>
  </si>
  <si>
    <t xml:space="preserve">Связь, расходники, непредвиденное</t>
  </si>
  <si>
    <t xml:space="preserve">НАЛОГИ</t>
  </si>
  <si>
    <t xml:space="preserve">Система налогообложения</t>
  </si>
  <si>
    <t xml:space="preserve">УСН 15% (доходы минус расходы)</t>
  </si>
  <si>
    <t xml:space="preserve">Страховые взносы ИП (фиксированные)</t>
  </si>
  <si>
    <t xml:space="preserve">~49 500 руб./год</t>
  </si>
  <si>
    <t xml:space="preserve">2025 год, при доходах до 300 тыс.</t>
  </si>
  <si>
    <t xml:space="preserve">P&amp;L ДЕТАЛЬНЫЙ  ·  БАЗОВЫЙ СЦЕНАРИЙ ОПТИМИЗИРОВАННЫЙ  ·  12 месяцев</t>
  </si>
  <si>
    <t xml:space="preserve">✦ Старт с 5 клиентов | транспорт 350 руб./клиент | помощник при 10 кл. | заказ растёт до 25 пицц/нед. с мес.6 | аренды нет</t>
  </si>
  <si>
    <t xml:space="preserve">■ Синий = вводная цифра   ■ Чёрный = формула   ■ Зелёный = ссылка на «Юнит-экономику»</t>
  </si>
  <si>
    <t xml:space="preserve">▌ ДОПУЩЕНИЯ ОПТИМИЗИРОВАННОГО СЦЕНАРИЯ</t>
  </si>
  <si>
    <t xml:space="preserve">Месяц 1</t>
  </si>
  <si>
    <t xml:space="preserve">Месяц 2</t>
  </si>
  <si>
    <t xml:space="preserve">Месяц 3</t>
  </si>
  <si>
    <t xml:space="preserve">Месяц 4</t>
  </si>
  <si>
    <t xml:space="preserve">Месяц 5</t>
  </si>
  <si>
    <t xml:space="preserve">Месяц 6</t>
  </si>
  <si>
    <t xml:space="preserve">Месяц 7</t>
  </si>
  <si>
    <t xml:space="preserve">Месяц 8</t>
  </si>
  <si>
    <t xml:space="preserve">Месяц 9</t>
  </si>
  <si>
    <t xml:space="preserve">Месяц 10</t>
  </si>
  <si>
    <t xml:space="preserve">Месяц 11</t>
  </si>
  <si>
    <t xml:space="preserve">Месяц 12</t>
  </si>
  <si>
    <t xml:space="preserve">ИТОГО год</t>
  </si>
  <si>
    <t xml:space="preserve">Активных клиентов (шт.)</t>
  </si>
  <si>
    <t xml:space="preserve">Пицц на клиента в месяц (мес.1–5: 65 | мес.6+: 108)</t>
  </si>
  <si>
    <t xml:space="preserve">Пицц произведено в месяц (шт.)</t>
  </si>
  <si>
    <t xml:space="preserve">  → Маргарита (40%)</t>
  </si>
  <si>
    <t xml:space="preserve">  → Пепперони (40%)</t>
  </si>
  <si>
    <t xml:space="preserve">  → С грибами   (20%)</t>
  </si>
  <si>
    <t xml:space="preserve">▌ ВЫРУЧКА  (цена 270 руб./шт.)</t>
  </si>
  <si>
    <t xml:space="preserve">Выручка: Маргарита</t>
  </si>
  <si>
    <t xml:space="preserve">Выручка: Пепперони</t>
  </si>
  <si>
    <t xml:space="preserve">Выручка: С грибами</t>
  </si>
  <si>
    <t xml:space="preserve">ИТОГО ВЫРУЧКА</t>
  </si>
  <si>
    <t xml:space="preserve">▌ ПЕРЕМЕННЫЕ ЗАТРАТЫ — COGS  (упаковка 10 руб./шт.)</t>
  </si>
  <si>
    <t xml:space="preserve">  Ингредиенты и брак по SKU:</t>
  </si>
  <si>
    <t xml:space="preserve">Ингредиенты: Маргарита</t>
  </si>
  <si>
    <t xml:space="preserve">Брак 6%: Маргарита</t>
  </si>
  <si>
    <t xml:space="preserve">Ингредиенты: Пепперони</t>
  </si>
  <si>
    <t xml:space="preserve">Брак 6%: Пепперони</t>
  </si>
  <si>
    <t xml:space="preserve">Ингредиенты: С грибами</t>
  </si>
  <si>
    <t xml:space="preserve">Брак 6%: С грибами</t>
  </si>
  <si>
    <t xml:space="preserve">Упаковка  (10 руб./шт. — оптовый тираж 500+)</t>
  </si>
  <si>
    <t xml:space="preserve">ИТОГО ПЕРЕМЕННЫЕ ЗАТРАТЫ (COGS)</t>
  </si>
  <si>
    <t xml:space="preserve">ВАЛОВАЯ МАРЖА</t>
  </si>
  <si>
    <t xml:space="preserve">   Маржинальность (%)</t>
  </si>
  <si>
    <t xml:space="preserve">▌ ПОСТОЯННЫЕ РАСХОДЫ  (стартовые 170 000 руб. — в месяц 0, вне P&amp;L)</t>
  </si>
  <si>
    <t xml:space="preserve">Аренда производственного цеха  ← 0 (покрывает партнёр)</t>
  </si>
  <si>
    <t xml:space="preserve">Логистика (350 руб. × кол-во клиентов)</t>
  </si>
  <si>
    <t xml:space="preserve">Маркетинг (Telegram, визитки, дегустации)</t>
  </si>
  <si>
    <t xml:space="preserve">Связь, подписки, канцелярия</t>
  </si>
  <si>
    <t xml:space="preserve">Прочие непредвиденные</t>
  </si>
  <si>
    <t xml:space="preserve">  Фонд оплаты труда (ФОТ):</t>
  </si>
  <si>
    <t xml:space="preserve">ЗП помощника (при ≥10 клиентах: 25 000 руб.)</t>
  </si>
  <si>
    <t xml:space="preserve">ЗП основателя  (с месяца 8 при достижении триггера)</t>
  </si>
  <si>
    <t xml:space="preserve">Страховые взносы на ФОТ (30%)</t>
  </si>
  <si>
    <t xml:space="preserve">  Итого ФОТ (включая взносы)</t>
  </si>
  <si>
    <t xml:space="preserve">⚠  Стартовые расходы 170 000 руб. (обучение, документы, закупка, дегустации) учтены в «Месяце 0» — инвестиционная фаза до начала продаж. В P&amp;L не входят, финансируются из инвестиции партнёра.</t>
  </si>
  <si>
    <t xml:space="preserve">ИТОГО ПОСТОЯННЫЕ РАСХОДЫ</t>
  </si>
  <si>
    <t xml:space="preserve">ПРИБЫЛЬ ДО НАЛОГОВ (EBITDA)</t>
  </si>
  <si>
    <t xml:space="preserve">▌ НАЛОГИ И ОБЯЗАТЕЛЬНЫЕ ПЛАТЕЖИ</t>
  </si>
  <si>
    <t xml:space="preserve">УСН 15% (доходы − расходы), при EBITDA &gt; 0</t>
  </si>
  <si>
    <t xml:space="preserve">Минимальный налог 1% от выручки (доплата, если осн. &lt; мин.)</t>
  </si>
  <si>
    <t xml:space="preserve">ИТОГО НАЛОГИ</t>
  </si>
  <si>
    <t xml:space="preserve">ЧИСТАЯ ПРИБЫЛЬ / УБЫТОК</t>
  </si>
  <si>
    <t xml:space="preserve">   Рентабельность по чистой прибыли (%)</t>
  </si>
  <si>
    <t xml:space="preserve">Накопленная прибыль нарастающим итогом</t>
  </si>
  <si>
    <t xml:space="preserve">▌ РАЗДЕЛ ЧИСТОЙ ПРИБЫЛИ МЕЖДУ ПАРТНЁРАМИ (при выплате дивидендов)</t>
  </si>
  <si>
    <t xml:space="preserve">  Основатель 70% / Партнёр 30%  ·  НДФЛ 13% при выплате  ·  только при положительной прибыли</t>
  </si>
  <si>
    <t xml:space="preserve">Дивиденды основателя (70%) — после НДФЛ 13%</t>
  </si>
  <si>
    <t xml:space="preserve">Дивиденды партнёра    (30%) — после НДФЛ 13%</t>
  </si>
  <si>
    <t xml:space="preserve">* Стартовые 170 000 руб. учтены в «Месяц 0» и финансируются из инвестиции партнёра — в P&amp;L не входят.</t>
  </si>
  <si>
    <t xml:space="preserve">* УСН 15%: начисляется только при EBITDA &gt; 0. Мин. налог = 1% выручки (доплата при убытке или низкой прибыли).</t>
  </si>
  <si>
    <t xml:space="preserve">* Страховые взносы 30% начисляются только на фактически начисленный ФОТ.</t>
  </si>
  <si>
    <t xml:space="preserve">* Цена 270 руб. и упаковка 10 руб./шт. обновлены в листе «Юнит-экономика» — все формулы пересчитаны.</t>
  </si>
  <si>
    <t xml:space="preserve">CASH FLOW (ДВИЖЕНИЕ ДЕНЕЖНЫХ СРЕДСТВ)  ·  Базовый сценарий  ·  12 месяцев</t>
  </si>
  <si>
    <t xml:space="preserve">⚠  B2B-специфика учтена: отсрочка оплаты клиентами ~14 дней (50% выручки месяца приходит в следующем месяце)  ·  Ингредиенты закупаются авансом 50%  ·  УСН платится поквартально</t>
  </si>
  <si>
    <t xml:space="preserve">■ Синий = вводная цифра   ■ Чёрный = формула   ■ Зелёный = ссылка на P&amp;L Детальный</t>
  </si>
  <si>
    <t xml:space="preserve">▌ ДОПУЩЕНИЯ CASH FLOW</t>
  </si>
  <si>
    <t xml:space="preserve">Месяц 0
(до старта)</t>
  </si>
  <si>
    <t xml:space="preserve">М1</t>
  </si>
  <si>
    <t xml:space="preserve">М2</t>
  </si>
  <si>
    <t xml:space="preserve">М3</t>
  </si>
  <si>
    <t xml:space="preserve">М4</t>
  </si>
  <si>
    <t xml:space="preserve">М5</t>
  </si>
  <si>
    <t xml:space="preserve">М6</t>
  </si>
  <si>
    <t xml:space="preserve">М7</t>
  </si>
  <si>
    <t xml:space="preserve">М8</t>
  </si>
  <si>
    <t xml:space="preserve">М9</t>
  </si>
  <si>
    <t xml:space="preserve">М10</t>
  </si>
  <si>
    <t xml:space="preserve">М11</t>
  </si>
  <si>
    <t xml:space="preserve">М12</t>
  </si>
  <si>
    <t xml:space="preserve">ИТОГО</t>
  </si>
  <si>
    <t xml:space="preserve">Инвестиция партнёра-арендодателя (разово, мес. 0)</t>
  </si>
  <si>
    <t xml:space="preserve">  Отсрочка оплаты B2B-клиентами: 50% выручки текущего месяца поступает в текущем, 50% — в следующем. Среднее: отсрочка ~14 дней.</t>
  </si>
  <si>
    <t xml:space="preserve">  Ингредиенты: 50% стоимости COGS закупается авансом (месяц текущий), 50% — по факту. Упрощение: всё COGS платится в месяце производства.</t>
  </si>
  <si>
    <t xml:space="preserve">  УСН: авансовые платежи ежеквартально (мес. 4, 7, 10), итоговый платёж в мес. 12 (за год).</t>
  </si>
  <si>
    <t xml:space="preserve">▌ ПОСТУПЛЕНИЯ ДЕНЕЖНЫХ СРЕДСТВ</t>
  </si>
  <si>
    <t xml:space="preserve">Инвестиция партнёра</t>
  </si>
  <si>
    <t xml:space="preserve">Поступления от клиентов  (с отсрочкой 14 дней: 50%+50%)</t>
  </si>
  <si>
    <t xml:space="preserve">     ↑ 50% выручки декабря (~92 000 руб.) поступит в январе следующего года — дебиторская задолженность</t>
  </si>
  <si>
    <t xml:space="preserve">ИТОГО ПОСТУПЛЕНИЯ</t>
  </si>
  <si>
    <t xml:space="preserve">▌ ВЫПЛАТЫ ДЕНЕЖНЫХ СРЕДСТВ</t>
  </si>
  <si>
    <t xml:space="preserve">Стартовые расходы (мес. 0): документы, обучение, закупка, упаковка, оборудование</t>
  </si>
  <si>
    <t xml:space="preserve">  Б. Оплата переменных затрат (ингредиенты, упаковка, прочее COGS):</t>
  </si>
  <si>
    <t xml:space="preserve">Оплата COGS (ингредиенты, упаковка, брак, электричество)</t>
  </si>
  <si>
    <t xml:space="preserve">  В. Постоянные платежи (ежемесячно):</t>
  </si>
  <si>
    <t xml:space="preserve">Маркетинг</t>
  </si>
  <si>
    <t xml:space="preserve">ЗП помощника</t>
  </si>
  <si>
    <t xml:space="preserve">ЗП основателя</t>
  </si>
  <si>
    <t xml:space="preserve">Страховые взносы (30% от ФОТ)</t>
  </si>
  <si>
    <t xml:space="preserve">  Итого постоянные платежи</t>
  </si>
  <si>
    <t xml:space="preserve">  Г. Налоговые платежи  (УСН — поквартально: мес. 4, 7, 10, 12):</t>
  </si>
  <si>
    <t xml:space="preserve">УСН 15% — квартальные авансовые платежи</t>
  </si>
  <si>
    <t xml:space="preserve">  Итого налоговые платежи</t>
  </si>
  <si>
    <t xml:space="preserve">ИТОГО ВЫПЛАТЫ</t>
  </si>
  <si>
    <t xml:space="preserve">ЧИСТЫЙ ДЕНЕЖНЫЙ ПОТОК ЗА МЕСЯЦ</t>
  </si>
  <si>
    <t xml:space="preserve">▌ ОСТАТОК ДЕНЕЖНЫХ СРЕДСТВ НА СЧЁТЕ</t>
  </si>
  <si>
    <t xml:space="preserve">Остаток на конец месяца (накопленный)</t>
  </si>
  <si>
    <t xml:space="preserve">   Минимальный рекомендуемый резерв (2 мес. постоянных расходов)</t>
  </si>
  <si>
    <t xml:space="preserve">   Запас прочности (остаток − резерв)</t>
  </si>
  <si>
    <t xml:space="preserve">▌ СВОДКА: КЛЮЧЕВЫЕ ПОКАЗАТЕЛИ ПО МЕСЯЦАМ</t>
  </si>
  <si>
    <t xml:space="preserve">Выручка (из P&amp;L)</t>
  </si>
  <si>
    <t xml:space="preserve">Чистая прибыль (из P&amp;L)</t>
  </si>
  <si>
    <t xml:space="preserve">Чистый денежный поток (Cash Flow)</t>
  </si>
  <si>
    <t xml:space="preserve">Остаток на счёте (конец месяца)</t>
  </si>
  <si>
    <t xml:space="preserve">* Отсрочка оплаты 14 дней моделируется как 50% выручки текущего мес. + 50% выручки предыдущего мес. поступают в текущем периоде.</t>
  </si>
  <si>
    <t xml:space="preserve">* УСН платится авансом ежеквартально (мес. 4, 7, 10) и итоговым платежом в мес. 12. Внутри квартала деньги временно остаются на счёте.</t>
  </si>
  <si>
    <t xml:space="preserve">* Аренда = 0: покрывается партнёром. Стартовые 170 000 руб. финансируются из инвестиции 350 000 руб. Остаток инвестиции = 180 000 руб. — оборотный буфер.</t>
  </si>
  <si>
    <t xml:space="preserve">* Дебиторская задолженность на конец года (50% выручки декабря) в Cash Flow не отражена — поступит в январе следующего года.</t>
  </si>
  <si>
    <t xml:space="preserve">КАЛЬКУЛЯТОР ИНВЕСТИЦИИ  ·  Что входит и что остаётся (печь и тестомес — у партнёра)</t>
  </si>
  <si>
    <t xml:space="preserve">■ Синий = бюджет (можно менять)   ■ Жёлтый = фактическая цена (вводи при покупке)   ■ Серый = справочно</t>
  </si>
  <si>
    <t xml:space="preserve">▌ 1. ОБОРУДОВАНИЕ (разовая покупка, собственность ООО)</t>
  </si>
  <si>
    <t xml:space="preserve">№</t>
  </si>
  <si>
    <t xml:space="preserve">Статья расхода</t>
  </si>
  <si>
    <t xml:space="preserve">Категория</t>
  </si>
  <si>
    <t xml:space="preserve">Мин, руб.</t>
  </si>
  <si>
    <t xml:space="preserve">Макс, руб.</t>
  </si>
  <si>
    <t xml:space="preserve">Бюджет, руб.</t>
  </si>
  <si>
    <t xml:space="preserve">Факт, руб.</t>
  </si>
  <si>
    <t xml:space="preserve">Примечание / источник</t>
  </si>
  <si>
    <t xml:space="preserve">Конвекционная печь для пиццы — есть у партнёра</t>
  </si>
  <si>
    <t xml:space="preserve">— не требуется</t>
  </si>
  <si>
    <t xml:space="preserve">Stalgast, Bartscher, российские аналоги. Важно: конвекция, до 300°C, таймер. Б/у — от 35 000.</t>
  </si>
  <si>
    <t xml:space="preserve">Тестомес спиральный — есть у партнёра</t>
  </si>
  <si>
    <t xml:space="preserve">Для длительной ферментации критичен объём дежи. Vitek, Gastrorag, Apach — 50–85 тыс. Б/у — от 25 000.</t>
  </si>
  <si>
    <t xml:space="preserve">Лотки для теста (расстойка, ферментация) — комплект 20 шт.</t>
  </si>
  <si>
    <t xml:space="preserve">Инвентарь</t>
  </si>
  <si>
    <t xml:space="preserve">Пластиковые гастроёмкости GN 1/1 с крышками. ~200–400 руб./шт. × 20 шт.</t>
  </si>
  <si>
    <t xml:space="preserve">Весы кухонные электронные (до 5 кг, точность 1 г)</t>
  </si>
  <si>
    <t xml:space="preserve">Обязательно для стабильного качества. Любой бренд с точностью ±1 г.</t>
  </si>
  <si>
    <t xml:space="preserve">Скалки, разделочные доски, контейнеры, ножи, лопатки</t>
  </si>
  <si>
    <t xml:space="preserve">Базовый инвентарь. Закупка в проф. магазине.</t>
  </si>
  <si>
    <t xml:space="preserve">Пульверизатор, кисти, силиконовые коврики</t>
  </si>
  <si>
    <t xml:space="preserve">Финишная отделка, смазка коржей.</t>
  </si>
  <si>
    <t xml:space="preserve">ИТОГО: Оборудование и инвентарь</t>
  </si>
  <si>
    <t xml:space="preserve">▌ 2. ПЕРВИЧНАЯ ЗАКУПКА ИНГРЕДИЕНТОВ (начинка — НЕ у арендодателя)</t>
  </si>
  <si>
    <t xml:space="preserve">Томатный соус / пассата (оптовая закупка ~30 кг)</t>
  </si>
  <si>
    <t xml:space="preserve">~80–150 руб./кг оптом. Запас на 300 пицц (первые 3–4 недели работы).</t>
  </si>
  <si>
    <t xml:space="preserve">Моцарелла (оптовая закупка ~15 кг)</t>
  </si>
  <si>
    <t xml:space="preserve">350–600 руб./кг оптом. Российские производители: Умалат, Cheese Gallery. Запас на ~500 пицц.</t>
  </si>
  <si>
    <t xml:space="preserve">Пепперони / колбаса (оптовая закупка ~8 кг)</t>
  </si>
  <si>
    <t xml:space="preserve">300–600 руб./кг. Нужен ветеринарный сертификат (Меркурий). Запас на ~200 пицц Пепперони.</t>
  </si>
  <si>
    <t xml:space="preserve">Грибы шампиньоны свежие (закупка ~10 кг)</t>
  </si>
  <si>
    <t xml:space="preserve">80–150 руб./кг оптом. Закупать по мере расхода — срок хранения 5–7 дней.</t>
  </si>
  <si>
    <t xml:space="preserve">Оливковое масло, специи, базилик (стартовый запас)</t>
  </si>
  <si>
    <t xml:space="preserve">Хранится долго. Закупить сразу на 3–4 месяца.</t>
  </si>
  <si>
    <t xml:space="preserve">Мука, дрожжи, соль, сахар (есть у арендодателя)</t>
  </si>
  <si>
    <t xml:space="preserve">✓ Предоставляет партнёр-арендодатель. Зафиксировать в договоре.</t>
  </si>
  <si>
    <t xml:space="preserve">ИТОГО: Первичная закупка ингредиентов</t>
  </si>
  <si>
    <t xml:space="preserve">▌ 3. ПРЕДСТАРТОВЫЕ РАСХОДЫ (месяц 0 — до первых продаж)</t>
  </si>
  <si>
    <t xml:space="preserve">Стажировка у пиццайоло (2–3 недели, обучение технологии заморозки)</t>
  </si>
  <si>
    <t xml:space="preserve">Обучение</t>
  </si>
  <si>
    <t xml:space="preserve">Рекомендуется именно производство заморозки, не пиццерия. Можно договориться бесплатно за помощь.</t>
  </si>
  <si>
    <t xml:space="preserve">Тестовые партии (50–80 пицц: тесто, заморозка, выпечка у клиентов)</t>
  </si>
  <si>
    <t xml:space="preserve">Тест-производство</t>
  </si>
  <si>
    <t xml:space="preserve">Тест цикла: замесить → сформировать → заморозить → разморозить → выпечь. Повторить 3–5 раз до стабильного качества.</t>
  </si>
  <si>
    <t xml:space="preserve">Декларация соответствия ТР ТС 021/2011</t>
  </si>
  <si>
    <t xml:space="preserve">Документы</t>
  </si>
  <si>
    <t xml:space="preserve">Через аккредитованный орган. Работа на мощностях партнёра снижает стоимость — его площадка уже сертифицирована.</t>
  </si>
  <si>
    <t xml:space="preserve">Разработка и регистрация ТУ (технические условия)</t>
  </si>
  <si>
    <t xml:space="preserve">Можно через партнёра (у него уже есть ТУ на производство). Или отдельно через технолога-консультанта.</t>
  </si>
  <si>
    <t xml:space="preserve">ХАССП базовый уровень (разработка документации)</t>
  </si>
  <si>
    <t xml:space="preserve">Для работы на чужих сертифицированных мощностях — упрощённый вариант. Можно шаблон + доработка.</t>
  </si>
  <si>
    <t xml:space="preserve">Медицинские книжки (основатель + помощник в будущем)</t>
  </si>
  <si>
    <t xml:space="preserve">1 500–3 000 руб./чел. Обязательно до начала работы.</t>
  </si>
  <si>
    <t xml:space="preserve">Уведомление Роспотребнадзора (подача)</t>
  </si>
  <si>
    <t xml:space="preserve">Госпошлина не взимается. Только время на подачу.</t>
  </si>
  <si>
    <t xml:space="preserve">Регистрация в Меркурий (пепперони — мясной компонент)</t>
  </si>
  <si>
    <t xml:space="preserve">Можно через партнёра, у которого уже есть доступ. Или самостоятельно через Россельхознадзор.</t>
  </si>
  <si>
    <t xml:space="preserve">Упаковка: коробки, плёнка, стикеры, этикетки (первый тираж 500 шт.)</t>
  </si>
  <si>
    <t xml:space="preserve">Упаковка</t>
  </si>
  <si>
    <t xml:space="preserve">Коробка ~6–10 руб./шт. оптом. Стикер + плёнка + этикетка ~4 руб. Минимальный тираж для снижения цены — 500 шт.</t>
  </si>
  <si>
    <t xml:space="preserve">Дегустации для потенциальных клиентов (10–15 баров)</t>
  </si>
  <si>
    <t xml:space="preserve">Продажи</t>
  </si>
  <si>
    <t xml:space="preserve">Привезти 5–7 пицц на дегустацию в каждый бар. Себестоимость + логистика. Это главный инструмент продаж.</t>
  </si>
  <si>
    <t xml:space="preserve">Маркетинг: визитки, брендинг, Telegram-канал</t>
  </si>
  <si>
    <t xml:space="preserve">Минимум: визитки 500 шт. (~1 500 руб.) + простой логотип + оформление Telegram.</t>
  </si>
  <si>
    <t xml:space="preserve">Первичная логистика: термобоксы, первые доставки</t>
  </si>
  <si>
    <t xml:space="preserve">2–3 термобокса для транспортировки замороженной пиццы до подключения рефтранспорта партнёра.</t>
  </si>
  <si>
    <t xml:space="preserve">Юридическое оформление ООО и корпоративного договора</t>
  </si>
  <si>
    <t xml:space="preserve">Юридика</t>
  </si>
  <si>
    <t xml:space="preserve">КРИТИЧНО: не экономить. Корпоративный договор, устав с защитными механизмами, non-compete. Хороший юрист = страховка от потери бизнеса.</t>
  </si>
  <si>
    <t xml:space="preserve">Непредвиденные расходы (резерв на мес. 0)</t>
  </si>
  <si>
    <t xml:space="preserve">Резерв</t>
  </si>
  <si>
    <t xml:space="preserve">Всегда что-то идёт не так при запуске. Лучше иметь и не потратить.</t>
  </si>
  <si>
    <t xml:space="preserve">ИТОГО: Предстартовые расходы</t>
  </si>
  <si>
    <t xml:space="preserve">▌ 4. ОБОРОТНЫЙ БУФЕР (резерв на первые месяцы работы)</t>
  </si>
  <si>
    <t xml:space="preserve">Запас на покрытие кассового разрыва (отсрочка платежей B2B)</t>
  </si>
  <si>
    <t xml:space="preserve">Буфер</t>
  </si>
  <si>
    <t xml:space="preserve">B2B-клиенты платят с задержкой 14–30 дней. Нужен запас, чтобы не останавливать производство.</t>
  </si>
  <si>
    <t xml:space="preserve">Запас на пополнение ингредиентов (2-й и 3-й месяц)</t>
  </si>
  <si>
    <t xml:space="preserve">Ингредиенты закупаются до получения оплаты от клиентов. Нужен оборотный капитал.</t>
  </si>
  <si>
    <t xml:space="preserve">Личный резерв основателя (2 мес. на случай форс-мажора)</t>
  </si>
  <si>
    <t xml:space="preserve">Бизнес-риск не должен угрожать личному выживанию. Отдельный счёт, не трогать без крайней необходимости.</t>
  </si>
  <si>
    <t xml:space="preserve">ИТОГО: Оборотный буфер</t>
  </si>
  <si>
    <t xml:space="preserve">▌ СВОДКА: КАК РАСХОДУЕТСЯ ИНВЕСТИЦИЯ 350 000 РУБ.</t>
  </si>
  <si>
    <t xml:space="preserve">Раздел</t>
  </si>
  <si>
    <t xml:space="preserve">Мин</t>
  </si>
  <si>
    <t xml:space="preserve">Макс</t>
  </si>
  <si>
    <t xml:space="preserve">Бюджет</t>
  </si>
  <si>
    <t xml:space="preserve">% от 350 000</t>
  </si>
  <si>
    <t xml:space="preserve">Остаток</t>
  </si>
  <si>
    <t xml:space="preserve">1. Оборудование и инвентарь</t>
  </si>
  <si>
    <t xml:space="preserve">2. Первичная закупка ингредиентов</t>
  </si>
  <si>
    <t xml:space="preserve">3. Предстартовые расходы (мес. 0)</t>
  </si>
  <si>
    <t xml:space="preserve">4. Оборотный буфер</t>
  </si>
  <si>
    <t xml:space="preserve">ИТОГО РАСХОДОВ (бюджет)</t>
  </si>
  <si>
    <t xml:space="preserve">ИНВЕСТИЦИЯ ПАРТНЁРА: 350 000 руб.</t>
  </si>
  <si>
    <t xml:space="preserve">СВОБОДНЫЙ ОСТАТОК (нераспределённый резерв)</t>
  </si>
  <si>
    <t xml:space="preserve">▌ ЧТО ПРЕДОСТАВЛЯЕТ ПАРТНЁР-АРЕНДОДАТЕЛЬ (не в деньгах)</t>
  </si>
  <si>
    <t xml:space="preserve">Перечисленное ниже не входит в инвестицию, но имеет денежный эквивалент — учитывай при обсуждении доли партнёра</t>
  </si>
  <si>
    <t xml:space="preserve">✓</t>
  </si>
  <si>
    <t xml:space="preserve">Производственный цех с шоковой заморозкой</t>
  </si>
  <si>
    <t xml:space="preserve">~50 000–80 000 руб./мес. аренды рыночная стоимость</t>
  </si>
  <si>
    <t xml:space="preserve">Рефрижераторный транспорт + логистические маршруты</t>
  </si>
  <si>
    <t xml:space="preserve">~20 000–30 000 руб./мес. экономия</t>
  </si>
  <si>
    <t xml:space="preserve">Мука, базовые ингредиенты (по договорённости)</t>
  </si>
  <si>
    <t xml:space="preserve">~5 000–10 000 руб./мес. или зачёт</t>
  </si>
  <si>
    <t xml:space="preserve">Клиентская база 200+ HoReCa-точек СПб</t>
  </si>
  <si>
    <t xml:space="preserve">Стоимость привлечения: 500–2 000 руб./лид × 200 = до 400 000 руб.</t>
  </si>
  <si>
    <t xml:space="preserve">Экспертиза в пищевом производстве и документации</t>
  </si>
  <si>
    <t xml:space="preserve">Консультант: 50 000–150 000 руб. единоразово</t>
  </si>
  <si>
    <t xml:space="preserve">Действующие разрешения Роспотребнадзора на площадке</t>
  </si>
  <si>
    <t xml:space="preserve">Экономия: 30 000–80 000 руб. и 3–6 мес. времени</t>
  </si>
  <si>
    <t xml:space="preserve">✗</t>
  </si>
  <si>
    <t xml:space="preserve">✓ Конвекционная печь — есть у партнёра</t>
  </si>
  <si>
    <t xml:space="preserve">Предоставляет партнёр ✓</t>
  </si>
  <si>
    <t xml:space="preserve">✓ Тестомес — есть у партнёра</t>
  </si>
  <si>
    <t xml:space="preserve">* Жёлтые ячейки (столбец «Факт») — вводи реальные цены при покупке, итоги пересчитаются автоматически.</t>
  </si>
  <si>
    <t xml:space="preserve">* Цены на оборудование — оптовые/рыночные на февраль 2025. Б/у оборудование может снизить CAPEX на 40–60%.</t>
  </si>
  <si>
    <t xml:space="preserve">* Мука и базовые ингредиенты от партнёра — зафиксировать письменно в договоре с указанием объёмов и условий.</t>
  </si>
  <si>
    <t xml:space="preserve">* Юридическое оформление ООО + корпоративный договор — не экономить. Это страховка от потери всего бизнеса.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</si>
</sst>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General"/>
    <numFmt numFmtId="168" formatCode="0.0"/>
    <numFmt numFmtId="169" formatCode="0"/>
    <numFmt numFmtId="170" formatCode="#,##0"/>
    <numFmt numFmtId="171" formatCode="0%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AAFFAA"/>
      <name val="Arial"/>
      <family val="0"/>
      <charset val="1"/>
    </font>
    <font>
      <i val="true"/>
      <sz val="9"/>
      <color rgb="FF0000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5D4037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4A148C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i val="true"/>
      <sz val="8"/>
      <color rgb="FFAAAAAA"/>
      <name val="Arial"/>
      <family val="0"/>
      <charset val="1"/>
    </font>
    <font>
      <b val="true"/>
      <sz val="9"/>
      <color rgb="FFFFCC8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9C27B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1B5E20"/>
      <name val="Arial"/>
      <family val="0"/>
      <charset val="1"/>
    </font>
    <font>
      <b val="true"/>
      <sz val="12"/>
      <color rgb="FFB71C1C"/>
      <name val="Arial"/>
      <family val="0"/>
      <charset val="1"/>
    </font>
  </fonts>
  <fills count="4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5F7FA"/>
        <bgColor rgb="FFF4F6FA"/>
      </patternFill>
    </fill>
    <fill>
      <patternFill patternType="solid">
        <fgColor rgb="FFFFFFFF"/>
        <bgColor rgb="FFFAFAFA"/>
      </patternFill>
    </fill>
    <fill>
      <patternFill patternType="solid">
        <fgColor rgb="FFE8EAF0"/>
        <bgColor rgb="FFEDE7F6"/>
      </patternFill>
    </fill>
    <fill>
      <patternFill patternType="solid">
        <fgColor rgb="FFDDE8F0"/>
        <bgColor rgb="FFE8EAF0"/>
      </patternFill>
    </fill>
    <fill>
      <patternFill patternType="solid">
        <fgColor rgb="FFD4EDDA"/>
        <bgColor rgb="FFCBF3CE"/>
      </patternFill>
    </fill>
    <fill>
      <patternFill patternType="solid">
        <fgColor rgb="FFFFF3CD"/>
        <bgColor rgb="FFFFF3E0"/>
      </patternFill>
    </fill>
    <fill>
      <patternFill patternType="darkGray">
        <fgColor rgb="FFCBF3CE"/>
        <bgColor rgb="FFD4EDDA"/>
      </patternFill>
    </fill>
    <fill>
      <patternFill patternType="solid">
        <fgColor rgb="FF1A3A2A"/>
        <bgColor rgb="FF2D3A1E"/>
      </patternFill>
    </fill>
    <fill>
      <patternFill patternType="solid">
        <fgColor rgb="FFEAF4FB"/>
        <bgColor rgb="FFE3F2FD"/>
      </patternFill>
    </fill>
    <fill>
      <patternFill patternType="solid">
        <fgColor rgb="FFDDDDDD"/>
        <bgColor rgb="FFDDE8F0"/>
      </patternFill>
    </fill>
    <fill>
      <patternFill patternType="solid">
        <fgColor rgb="FF1565C0"/>
        <bgColor rgb="FF0D47A1"/>
      </patternFill>
    </fill>
    <fill>
      <patternFill patternType="solid">
        <fgColor rgb="FFF4F6FA"/>
        <bgColor rgb="FFF5F7FA"/>
      </patternFill>
    </fill>
    <fill>
      <patternFill patternType="solid">
        <fgColor rgb="FFBBDEFB"/>
        <bgColor rgb="FFDDE8F0"/>
      </patternFill>
    </fill>
    <fill>
      <patternFill patternType="solid">
        <fgColor rgb="FFE65100"/>
        <bgColor rgb="FFB71C1C"/>
      </patternFill>
    </fill>
    <fill>
      <patternFill patternType="solid">
        <fgColor rgb="FFFFF8F0"/>
        <bgColor rgb="FFFEF9E7"/>
      </patternFill>
    </fill>
    <fill>
      <patternFill patternType="solid">
        <fgColor rgb="FFFEF9E7"/>
        <bgColor rgb="FFFFF8E1"/>
      </patternFill>
    </fill>
    <fill>
      <patternFill patternType="solid">
        <fgColor rgb="FFF0F0F0"/>
        <bgColor rgb="FFF5F0FF"/>
      </patternFill>
    </fill>
    <fill>
      <patternFill patternType="solid">
        <fgColor rgb="FFFFD2CA"/>
        <bgColor rgb="FFFFCDD2"/>
      </patternFill>
    </fill>
    <fill>
      <patternFill patternType="solid">
        <fgColor rgb="FFEAF7F0"/>
        <bgColor rgb="FFE8F5E9"/>
      </patternFill>
    </fill>
    <fill>
      <patternFill patternType="solid">
        <fgColor rgb="FFB71C1C"/>
        <bgColor rgb="FFE65100"/>
      </patternFill>
    </fill>
    <fill>
      <patternFill patternType="solid">
        <fgColor rgb="FFFDECEA"/>
        <bgColor rgb="FFFFEBEE"/>
      </patternFill>
    </fill>
    <fill>
      <patternFill patternType="solid">
        <fgColor rgb="FFF5F0FF"/>
        <bgColor rgb="FFF4F6FA"/>
      </patternFill>
    </fill>
    <fill>
      <patternFill patternType="solid">
        <fgColor rgb="FFEDE7F6"/>
        <bgColor rgb="FFF3E5F5"/>
      </patternFill>
    </fill>
    <fill>
      <patternFill patternType="solid">
        <fgColor rgb="FFFFF8E1"/>
        <bgColor rgb="FFFEF9E7"/>
      </patternFill>
    </fill>
    <fill>
      <patternFill patternType="solid">
        <fgColor rgb="FFFFCDD2"/>
        <bgColor rgb="FFFFD2CA"/>
      </patternFill>
    </fill>
    <fill>
      <patternFill patternType="mediumGray">
        <fgColor rgb="FF801BA3"/>
        <bgColor rgb="FF641697"/>
      </patternFill>
    </fill>
    <fill>
      <patternFill patternType="solid">
        <fgColor rgb="FFF3E5F5"/>
        <bgColor rgb="FFEDE7F6"/>
      </patternFill>
    </fill>
    <fill>
      <patternFill patternType="solid">
        <fgColor rgb="FFBEA3C3"/>
        <bgColor rgb="FFE1BEE7"/>
      </patternFill>
    </fill>
    <fill>
      <patternFill patternType="solid">
        <fgColor rgb="FFE8F5E9"/>
        <bgColor rgb="FFEAF7F0"/>
      </patternFill>
    </fill>
    <fill>
      <patternFill patternType="solid">
        <fgColor rgb="FFE3F2FD"/>
        <bgColor rgb="FFEAF4FB"/>
      </patternFill>
    </fill>
    <fill>
      <patternFill patternType="solid">
        <fgColor rgb="FF37474F"/>
        <bgColor rgb="FF444444"/>
      </patternFill>
    </fill>
    <fill>
      <patternFill patternType="solid">
        <fgColor rgb="FF455A64"/>
        <bgColor rgb="FF555555"/>
      </patternFill>
    </fill>
    <fill>
      <patternFill patternType="solid">
        <fgColor rgb="FFFFF3E0"/>
        <bgColor rgb="FFFFF8E1"/>
      </patternFill>
    </fill>
    <fill>
      <patternFill patternType="solid">
        <fgColor rgb="FF2D3A1E"/>
        <bgColor rgb="FF1A3A2A"/>
      </patternFill>
    </fill>
    <fill>
      <patternFill patternType="solid">
        <fgColor rgb="FF147E15"/>
        <bgColor rgb="FF008000"/>
      </patternFill>
    </fill>
    <fill>
      <patternFill patternType="solid">
        <fgColor rgb="FFFFDFA6"/>
        <bgColor rgb="FFFFD2CA"/>
      </patternFill>
    </fill>
    <fill>
      <patternFill patternType="solid">
        <fgColor rgb="FFFAFAFA"/>
        <bgColor rgb="FFF5F7FA"/>
      </patternFill>
    </fill>
    <fill>
      <patternFill patternType="solid">
        <fgColor rgb="FFFFFDE7"/>
        <bgColor rgb="FFFEF9E7"/>
      </patternFill>
    </fill>
    <fill>
      <patternFill patternType="darkGray">
        <fgColor rgb="FF641697"/>
        <bgColor rgb="FF801BA3"/>
      </patternFill>
    </fill>
    <fill>
      <patternFill patternType="solid">
        <fgColor rgb="FFE1BEE7"/>
        <bgColor rgb="FFCCCCCC"/>
      </patternFill>
    </fill>
    <fill>
      <patternFill patternType="solid">
        <fgColor rgb="FFFFEBEE"/>
        <bgColor rgb="FFFDECEA"/>
      </patternFill>
    </fill>
    <fill>
      <patternFill patternType="solid">
        <fgColor rgb="FF1B5E20"/>
        <bgColor rgb="FF147E15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5A4138"/>
      </left>
      <right style="thin">
        <color rgb="FF5A4138"/>
      </right>
      <top style="thin">
        <color rgb="FF5A4138"/>
      </top>
      <bottom style="thin">
        <color rgb="FF5A413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5588AA"/>
      </left>
      <right style="thin">
        <color rgb="FF5588AA"/>
      </right>
      <top style="thin">
        <color rgb="FF5588AA"/>
      </top>
      <bottom style="thin">
        <color rgb="FF5588AA"/>
      </bottom>
      <diagonal/>
    </border>
    <border diagonalUp="false" diagonalDown="false"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 diagonalUp="false" diagonalDown="false">
      <left style="thin">
        <color rgb="FFE65100"/>
      </left>
      <right/>
      <top style="thin">
        <color rgb="FFE65100"/>
      </top>
      <bottom style="thin">
        <color rgb="FFE65100"/>
      </bottom>
      <diagonal/>
    </border>
    <border diagonalUp="false" diagonalDown="false"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 diagonalUp="false" diagonalDown="false">
      <left style="thin">
        <color rgb="FFFFDFA6"/>
      </left>
      <right style="thin">
        <color rgb="FFFFDFA6"/>
      </right>
      <top style="thin">
        <color rgb="FFFFDFA6"/>
      </top>
      <bottom style="thin">
        <color rgb="FFFFDFA6"/>
      </bottom>
      <diagonal/>
    </border>
    <border diagonalUp="false" diagonalDown="false">
      <left style="medium">
        <color rgb="FF444444"/>
      </left>
      <right/>
      <top style="medium">
        <color rgb="FF444444"/>
      </top>
      <bottom style="medium">
        <color rgb="FF444444"/>
      </bottom>
      <diagonal/>
    </border>
    <border diagonalUp="false" diagonalDown="false"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6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5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8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70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19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0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7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0" fillId="2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2" fillId="2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3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6" fontId="9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5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8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6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25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7" fillId="27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7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8" borderId="5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2" fillId="29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2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8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2" fillId="2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1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7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5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3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4" fillId="3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3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6" fontId="9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3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36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2" fillId="37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2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6" fillId="3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31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3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true" indent="2" shrinkToFit="false"/>
      <protection locked="true" hidden="false"/>
    </xf>
    <xf numFmtId="164" fontId="6" fillId="3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33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7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12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2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7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5" fontId="28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0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7" fillId="4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1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5" fontId="29" fillId="4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4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1" fillId="3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5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4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15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3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4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9" fillId="3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3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2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3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17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7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4" fillId="1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3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9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11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1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4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7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9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40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4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4" fillId="4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1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9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1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44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44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4" fillId="4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4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35" fillId="3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3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3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35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7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35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1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35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5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45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4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4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6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46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2" fillId="4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3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33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7" fillId="3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3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37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3" borderId="10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9" fillId="33" borderId="10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38" fillId="4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5" borderId="10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9" fillId="45" borderId="10" xfId="0" applyFont="true" applyBorder="true" applyAlignment="true" applyProtection="false">
      <alignment horizontal="left" vertical="center" textRotation="0" wrapText="tru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EF9E7"/>
      <rgbColor rgb="FFF4F6FA"/>
      <rgbColor rgb="FF0000FF"/>
      <rgbColor rgb="FFFFF3E0"/>
      <rgbColor rgb="FFFFEBEE"/>
      <rgbColor rgb="FFEAF4FB"/>
      <rgbColor rgb="FFF5F7FA"/>
      <rgbColor rgb="FF008000"/>
      <rgbColor rgb="FF1A1A2E"/>
      <rgbColor rgb="FF444444"/>
      <rgbColor rgb="FF801BA3"/>
      <rgbColor rgb="FF147E15"/>
      <rgbColor rgb="FFCCCCCC"/>
      <rgbColor rgb="FF888888"/>
      <rgbColor rgb="FFDDE8F0"/>
      <rgbColor rgb="FF5A4138"/>
      <rgbColor rgb="FFFFF8E1"/>
      <rgbColor rgb="FFE3F2FD"/>
      <rgbColor rgb="FF641697"/>
      <rgbColor rgb="FFFFCDD2"/>
      <rgbColor rgb="FF1565C0"/>
      <rgbColor rgb="FFBBDEFB"/>
      <rgbColor rgb="FF37474F"/>
      <rgbColor rgb="FFFDECEA"/>
      <rgbColor rgb="FFFFFDE7"/>
      <rgbColor rgb="FFEDE7F6"/>
      <rgbColor rgb="FFF5F0FF"/>
      <rgbColor rgb="FFFFF8F0"/>
      <rgbColor rgb="FF1B5E20"/>
      <rgbColor rgb="FFFAFAFA"/>
      <rgbColor rgb="FFF0F0F0"/>
      <rgbColor rgb="FFEAF7F0"/>
      <rgbColor rgb="FFCBF3CE"/>
      <rgbColor rgb="FFFFF3CD"/>
      <rgbColor rgb="FFDDDDDD"/>
      <rgbColor rgb="FFE1BEE7"/>
      <rgbColor rgb="FFBEA3C3"/>
      <rgbColor rgb="FFFFDFA6"/>
      <rgbColor rgb="FF455A64"/>
      <rgbColor rgb="FFE8F5E9"/>
      <rgbColor rgb="FFE8EAF0"/>
      <rgbColor rgb="FFFFD2CA"/>
      <rgbColor rgb="FFF3E5F5"/>
      <rgbColor rgb="FFE65100"/>
      <rgbColor rgb="FF666666"/>
      <rgbColor rgb="FFD4EDDA"/>
      <rgbColor rgb="FF0F3460"/>
      <rgbColor rgb="FF5588AA"/>
      <rgbColor rgb="FF16213E"/>
      <rgbColor rgb="FF1A3A2A"/>
      <rgbColor rgb="FFB71C1C"/>
      <rgbColor rgb="FF555555"/>
      <rgbColor rgb="FF0D47A1"/>
      <rgbColor rgb="FF2D3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F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6" min="5" style="1" width="22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</row>
    <row r="3" customFormat="false" ht="21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18" hidden="false" customHeight="true" outlineLevel="0" collapsed="false">
      <c r="A4" s="5" t="s">
        <v>8</v>
      </c>
      <c r="B4" s="5"/>
      <c r="C4" s="5"/>
      <c r="D4" s="5"/>
      <c r="E4" s="5"/>
      <c r="F4" s="5"/>
    </row>
    <row r="5" customFormat="false" ht="16.5" hidden="false" customHeight="true" outlineLevel="0" collapsed="false">
      <c r="A5" s="6" t="s">
        <v>9</v>
      </c>
      <c r="B5" s="7" t="n">
        <v>22</v>
      </c>
      <c r="C5" s="7" t="n">
        <v>22</v>
      </c>
      <c r="D5" s="7" t="n">
        <v>22</v>
      </c>
      <c r="E5" s="8"/>
      <c r="F5" s="9" t="s">
        <v>10</v>
      </c>
    </row>
    <row r="6" customFormat="false" ht="16.5" hidden="false" customHeight="true" outlineLevel="0" collapsed="false">
      <c r="A6" s="10" t="s">
        <v>11</v>
      </c>
      <c r="B6" s="11" t="n">
        <v>10</v>
      </c>
      <c r="C6" s="11" t="n">
        <v>10</v>
      </c>
      <c r="D6" s="11" t="n">
        <v>10</v>
      </c>
      <c r="E6" s="12"/>
      <c r="F6" s="13" t="s">
        <v>12</v>
      </c>
    </row>
    <row r="7" customFormat="false" ht="16.5" hidden="false" customHeight="true" outlineLevel="0" collapsed="false">
      <c r="A7" s="6" t="s">
        <v>13</v>
      </c>
      <c r="B7" s="7" t="n">
        <v>28</v>
      </c>
      <c r="C7" s="7" t="n">
        <v>28</v>
      </c>
      <c r="D7" s="7" t="n">
        <v>28</v>
      </c>
      <c r="E7" s="8"/>
      <c r="F7" s="9" t="s">
        <v>14</v>
      </c>
    </row>
    <row r="8" customFormat="false" ht="16.5" hidden="false" customHeight="true" outlineLevel="0" collapsed="false">
      <c r="A8" s="10" t="s">
        <v>15</v>
      </c>
      <c r="B8" s="11" t="n">
        <v>0</v>
      </c>
      <c r="C8" s="11" t="n">
        <v>40</v>
      </c>
      <c r="D8" s="11" t="n">
        <v>0</v>
      </c>
      <c r="E8" s="12"/>
      <c r="F8" s="13" t="s">
        <v>16</v>
      </c>
    </row>
    <row r="9" customFormat="false" ht="16.5" hidden="false" customHeight="true" outlineLevel="0" collapsed="false">
      <c r="A9" s="6" t="s">
        <v>17</v>
      </c>
      <c r="B9" s="7" t="n">
        <v>0</v>
      </c>
      <c r="C9" s="7" t="n">
        <v>0</v>
      </c>
      <c r="D9" s="7" t="n">
        <v>23</v>
      </c>
      <c r="E9" s="8"/>
      <c r="F9" s="9" t="s">
        <v>18</v>
      </c>
    </row>
    <row r="10" customFormat="false" ht="16.5" hidden="false" customHeight="true" outlineLevel="0" collapsed="false">
      <c r="A10" s="10" t="s">
        <v>19</v>
      </c>
      <c r="B10" s="11" t="n">
        <v>12</v>
      </c>
      <c r="C10" s="11" t="n">
        <v>6</v>
      </c>
      <c r="D10" s="11" t="n">
        <v>6</v>
      </c>
      <c r="E10" s="12"/>
      <c r="F10" s="13" t="s">
        <v>20</v>
      </c>
    </row>
    <row r="11" customFormat="false" ht="16.5" hidden="false" customHeight="true" outlineLevel="0" collapsed="false">
      <c r="A11" s="14" t="s">
        <v>21</v>
      </c>
      <c r="B11" s="15" t="n">
        <v>0.4</v>
      </c>
      <c r="C11" s="15" t="n">
        <v>0.4</v>
      </c>
      <c r="D11" s="15" t="n">
        <v>0.2</v>
      </c>
    </row>
    <row r="12" customFormat="false" ht="18" hidden="false" customHeight="true" outlineLevel="0" collapsed="false">
      <c r="A12" s="16" t="s">
        <v>22</v>
      </c>
      <c r="B12" s="17" t="n">
        <f aca="false">SUM(B5:B10)</f>
        <v>72</v>
      </c>
      <c r="C12" s="17" t="n">
        <f aca="false">SUM(C5:C10)</f>
        <v>106</v>
      </c>
      <c r="D12" s="17" t="n">
        <f aca="false">SUM(D5:D10)</f>
        <v>89</v>
      </c>
      <c r="E12" s="17" t="n">
        <f aca="false">B12*B11+C12*C11+D12*D11</f>
        <v>89</v>
      </c>
      <c r="F12" s="18" t="s">
        <v>23</v>
      </c>
    </row>
    <row r="13" customFormat="false" ht="18" hidden="false" customHeight="true" outlineLevel="0" collapsed="false">
      <c r="A13" s="5" t="s">
        <v>24</v>
      </c>
      <c r="B13" s="5"/>
      <c r="C13" s="5"/>
      <c r="D13" s="5"/>
      <c r="E13" s="5"/>
      <c r="F13" s="5"/>
    </row>
    <row r="14" customFormat="false" ht="16.5" hidden="false" customHeight="true" outlineLevel="0" collapsed="false">
      <c r="A14" s="19" t="s">
        <v>25</v>
      </c>
      <c r="B14" s="20" t="n">
        <f aca="false">B12</f>
        <v>72</v>
      </c>
      <c r="C14" s="20" t="n">
        <f aca="false">C12</f>
        <v>106</v>
      </c>
      <c r="D14" s="20" t="n">
        <f aca="false">D12</f>
        <v>89</v>
      </c>
      <c r="E14" s="20" t="n">
        <f aca="false">E12</f>
        <v>89</v>
      </c>
      <c r="F14" s="21" t="s">
        <v>26</v>
      </c>
    </row>
    <row r="15" customFormat="false" ht="16.5" hidden="false" customHeight="true" outlineLevel="0" collapsed="false">
      <c r="A15" s="22" t="s">
        <v>27</v>
      </c>
      <c r="B15" s="7" t="n">
        <v>10</v>
      </c>
      <c r="C15" s="7" t="n">
        <v>10</v>
      </c>
      <c r="D15" s="7" t="n">
        <v>10</v>
      </c>
      <c r="E15" s="23" t="n">
        <f aca="false">B15*B11+C15*C11+D15*D11</f>
        <v>10</v>
      </c>
      <c r="F15" s="24" t="s">
        <v>28</v>
      </c>
    </row>
    <row r="16" customFormat="false" ht="16.5" hidden="false" customHeight="true" outlineLevel="0" collapsed="false">
      <c r="A16" s="19" t="s">
        <v>29</v>
      </c>
      <c r="B16" s="20" t="n">
        <f aca="false">B12*0.06</f>
        <v>4.32</v>
      </c>
      <c r="C16" s="20" t="n">
        <f aca="false">C12*0.06</f>
        <v>6.36</v>
      </c>
      <c r="D16" s="20" t="n">
        <f aca="false">D12*0.06</f>
        <v>5.34</v>
      </c>
      <c r="E16" s="20" t="n">
        <f aca="false">E12*0.06</f>
        <v>5.34</v>
      </c>
      <c r="F16" s="21" t="s">
        <v>30</v>
      </c>
    </row>
    <row r="17" customFormat="false" ht="16.5" hidden="false" customHeight="true" outlineLevel="0" collapsed="false">
      <c r="A17" s="22" t="s">
        <v>31</v>
      </c>
      <c r="B17" s="7" t="n">
        <v>4</v>
      </c>
      <c r="C17" s="7" t="n">
        <v>4</v>
      </c>
      <c r="D17" s="7" t="n">
        <v>4</v>
      </c>
      <c r="E17" s="23" t="n">
        <f aca="false">B17*B11+C17*C11+D17*D11</f>
        <v>4</v>
      </c>
      <c r="F17" s="24" t="s">
        <v>32</v>
      </c>
    </row>
    <row r="18" customFormat="false" ht="16.5" hidden="false" customHeight="true" outlineLevel="0" collapsed="false">
      <c r="A18" s="19" t="s">
        <v>33</v>
      </c>
      <c r="B18" s="11" t="n">
        <v>2</v>
      </c>
      <c r="C18" s="11" t="n">
        <v>2</v>
      </c>
      <c r="D18" s="11" t="n">
        <v>2</v>
      </c>
      <c r="E18" s="20" t="n">
        <f aca="false">B18*B11+C18*C11+D18*D11</f>
        <v>2</v>
      </c>
      <c r="F18" s="21" t="s">
        <v>34</v>
      </c>
    </row>
    <row r="19" customFormat="false" ht="18" hidden="false" customHeight="true" outlineLevel="0" collapsed="false">
      <c r="A19" s="16" t="s">
        <v>35</v>
      </c>
      <c r="B19" s="17" t="n">
        <f aca="false">SUM(B14:B18)</f>
        <v>92.32</v>
      </c>
      <c r="C19" s="17" t="n">
        <f aca="false">SUM(C14:C18)</f>
        <v>128.36</v>
      </c>
      <c r="D19" s="17" t="n">
        <f aca="false">SUM(D14:D18)</f>
        <v>110.34</v>
      </c>
      <c r="E19" s="17" t="n">
        <f aca="false">SUM(E14:E18)</f>
        <v>110.34</v>
      </c>
      <c r="F19" s="25"/>
    </row>
    <row r="20" customFormat="false" ht="18" hidden="false" customHeight="true" outlineLevel="0" collapsed="false">
      <c r="A20" s="5" t="s">
        <v>36</v>
      </c>
      <c r="B20" s="5"/>
      <c r="C20" s="5"/>
      <c r="D20" s="5"/>
      <c r="E20" s="5"/>
      <c r="F20" s="5"/>
    </row>
    <row r="21" customFormat="false" ht="16.5" hidden="false" customHeight="true" outlineLevel="0" collapsed="false">
      <c r="A21" s="22" t="s">
        <v>37</v>
      </c>
      <c r="B21" s="7" t="n">
        <v>270</v>
      </c>
      <c r="C21" s="7" t="n">
        <v>270</v>
      </c>
      <c r="D21" s="7" t="n">
        <v>270</v>
      </c>
      <c r="E21" s="26" t="n">
        <f aca="false">B21*B11+C21*C11+D21*D11</f>
        <v>270</v>
      </c>
      <c r="F21" s="24" t="s">
        <v>38</v>
      </c>
    </row>
    <row r="22" customFormat="false" ht="16.5" hidden="false" customHeight="true" outlineLevel="0" collapsed="false">
      <c r="A22" s="19" t="s">
        <v>39</v>
      </c>
      <c r="B22" s="27" t="n">
        <f aca="false">B21-B19</f>
        <v>177.68</v>
      </c>
      <c r="C22" s="27" t="n">
        <f aca="false">C21-C19</f>
        <v>141.64</v>
      </c>
      <c r="D22" s="27" t="n">
        <f aca="false">D21-D19</f>
        <v>159.66</v>
      </c>
      <c r="E22" s="27" t="n">
        <f aca="false">E21-E19</f>
        <v>159.66</v>
      </c>
      <c r="F22" s="21" t="s">
        <v>40</v>
      </c>
    </row>
    <row r="23" customFormat="false" ht="16.5" hidden="false" customHeight="true" outlineLevel="0" collapsed="false">
      <c r="A23" s="22" t="s">
        <v>41</v>
      </c>
      <c r="B23" s="28" t="n">
        <f aca="false">B22/B21</f>
        <v>0.658074074074074</v>
      </c>
      <c r="C23" s="28" t="n">
        <f aca="false">C22/C21</f>
        <v>0.524592592592593</v>
      </c>
      <c r="D23" s="28" t="n">
        <f aca="false">D22/D21</f>
        <v>0.591333333333333</v>
      </c>
      <c r="E23" s="28" t="n">
        <f aca="false">E22/E21</f>
        <v>0.591333333333333</v>
      </c>
      <c r="F23" s="24" t="s">
        <v>42</v>
      </c>
    </row>
    <row r="24" customFormat="false" ht="16.5" hidden="false" customHeight="true" outlineLevel="0" collapsed="false">
      <c r="A24" s="19" t="s">
        <v>43</v>
      </c>
      <c r="B24" s="20" t="n">
        <f aca="false">B21*2.3</f>
        <v>621</v>
      </c>
      <c r="C24" s="20" t="n">
        <f aca="false">C21*2.3</f>
        <v>621</v>
      </c>
      <c r="D24" s="20" t="n">
        <f aca="false">D21*2.3</f>
        <v>621</v>
      </c>
      <c r="E24" s="20" t="n">
        <f aca="false">E21*2.3</f>
        <v>621</v>
      </c>
      <c r="F24" s="21" t="s">
        <v>44</v>
      </c>
    </row>
    <row r="25" customFormat="false" ht="16.5" hidden="false" customHeight="true" outlineLevel="0" collapsed="false">
      <c r="A25" s="22" t="s">
        <v>45</v>
      </c>
      <c r="B25" s="23" t="n">
        <f aca="false">B21*2.5</f>
        <v>675</v>
      </c>
      <c r="C25" s="23" t="n">
        <f aca="false">C21*2.5</f>
        <v>675</v>
      </c>
      <c r="D25" s="23" t="n">
        <f aca="false">D21*2.5</f>
        <v>675</v>
      </c>
      <c r="E25" s="23" t="n">
        <f aca="false">E21*2.5</f>
        <v>675</v>
      </c>
      <c r="F25" s="24" t="s">
        <v>46</v>
      </c>
    </row>
    <row r="26" customFormat="false" ht="18" hidden="false" customHeight="true" outlineLevel="0" collapsed="false">
      <c r="A26" s="5" t="s">
        <v>47</v>
      </c>
      <c r="B26" s="5"/>
      <c r="C26" s="5"/>
      <c r="D26" s="5"/>
      <c r="E26" s="5"/>
      <c r="F26" s="5"/>
    </row>
    <row r="27" customFormat="false" ht="16.5" hidden="false" customHeight="true" outlineLevel="0" collapsed="false">
      <c r="A27" s="22" t="s">
        <v>48</v>
      </c>
      <c r="B27" s="8"/>
      <c r="C27" s="8"/>
      <c r="D27" s="8"/>
      <c r="E27" s="29" t="n">
        <v>10000</v>
      </c>
      <c r="F27" s="24" t="s">
        <v>49</v>
      </c>
    </row>
    <row r="28" customFormat="false" ht="16.5" hidden="false" customHeight="true" outlineLevel="0" collapsed="false">
      <c r="A28" s="19" t="s">
        <v>50</v>
      </c>
      <c r="B28" s="12"/>
      <c r="C28" s="12"/>
      <c r="D28" s="12"/>
      <c r="E28" s="30" t="n">
        <f aca="false">E22</f>
        <v>159.66</v>
      </c>
      <c r="F28" s="21" t="s">
        <v>51</v>
      </c>
    </row>
    <row r="29" customFormat="false" ht="16.5" hidden="false" customHeight="true" outlineLevel="0" collapsed="false">
      <c r="A29" s="22" t="s">
        <v>52</v>
      </c>
      <c r="B29" s="8"/>
      <c r="C29" s="8"/>
      <c r="D29" s="8"/>
      <c r="E29" s="31" t="n">
        <f aca="false">ROUNDUP(E27/E28,0)</f>
        <v>63</v>
      </c>
      <c r="F29" s="24" t="s">
        <v>53</v>
      </c>
    </row>
    <row r="30" customFormat="false" ht="16.5" hidden="false" customHeight="true" outlineLevel="0" collapsed="false">
      <c r="A30" s="19" t="s">
        <v>54</v>
      </c>
      <c r="B30" s="12"/>
      <c r="C30" s="12"/>
      <c r="D30" s="12"/>
      <c r="E30" s="32" t="n">
        <f aca="false">ROUNDUP(E29/43,0)</f>
        <v>2</v>
      </c>
      <c r="F30" s="21" t="s">
        <v>55</v>
      </c>
    </row>
    <row r="31" customFormat="false" ht="16.5" hidden="false" customHeight="true" outlineLevel="0" collapsed="false">
      <c r="A31" s="22" t="s">
        <v>56</v>
      </c>
      <c r="B31" s="8"/>
      <c r="C31" s="8"/>
      <c r="D31" s="8"/>
      <c r="E31" s="31" t="n">
        <f aca="false">E29*E21</f>
        <v>17010</v>
      </c>
      <c r="F31" s="24" t="s">
        <v>57</v>
      </c>
    </row>
    <row r="32" customFormat="false" ht="18" hidden="false" customHeight="true" outlineLevel="0" collapsed="false">
      <c r="A32" s="5" t="s">
        <v>58</v>
      </c>
      <c r="B32" s="5"/>
      <c r="C32" s="5"/>
      <c r="D32" s="5"/>
      <c r="E32" s="5"/>
      <c r="F32" s="5"/>
    </row>
    <row r="33" customFormat="false" ht="16.5" hidden="false" customHeight="true" outlineLevel="0" collapsed="false">
      <c r="A33" s="22" t="s">
        <v>59</v>
      </c>
      <c r="B33" s="8"/>
      <c r="C33" s="8"/>
      <c r="D33" s="8"/>
      <c r="E33" s="7" t="n">
        <v>10</v>
      </c>
      <c r="F33" s="24" t="s">
        <v>60</v>
      </c>
    </row>
    <row r="34" customFormat="false" ht="16.5" hidden="false" customHeight="true" outlineLevel="0" collapsed="false">
      <c r="A34" s="19" t="s">
        <v>61</v>
      </c>
      <c r="B34" s="12"/>
      <c r="C34" s="12"/>
      <c r="D34" s="12"/>
      <c r="E34" s="33" t="n">
        <f aca="false">E33*4.3</f>
        <v>43</v>
      </c>
      <c r="F34" s="21" t="s">
        <v>62</v>
      </c>
    </row>
    <row r="35" customFormat="false" ht="16.5" hidden="false" customHeight="true" outlineLevel="0" collapsed="false">
      <c r="A35" s="22" t="s">
        <v>63</v>
      </c>
      <c r="B35" s="8"/>
      <c r="C35" s="8"/>
      <c r="D35" s="8"/>
      <c r="E35" s="26" t="n">
        <f aca="false">E34*E21</f>
        <v>11610</v>
      </c>
      <c r="F35" s="24" t="s">
        <v>57</v>
      </c>
    </row>
    <row r="36" customFormat="false" ht="16.5" hidden="false" customHeight="true" outlineLevel="0" collapsed="false">
      <c r="A36" s="19" t="s">
        <v>64</v>
      </c>
      <c r="B36" s="12"/>
      <c r="C36" s="12"/>
      <c r="D36" s="12"/>
      <c r="E36" s="20" t="n">
        <f aca="false">E34*E19</f>
        <v>4744.62</v>
      </c>
      <c r="F36" s="21" t="s">
        <v>65</v>
      </c>
    </row>
    <row r="37" customFormat="false" ht="16.5" hidden="false" customHeight="true" outlineLevel="0" collapsed="false">
      <c r="A37" s="22" t="s">
        <v>66</v>
      </c>
      <c r="B37" s="8"/>
      <c r="C37" s="8"/>
      <c r="D37" s="8"/>
      <c r="E37" s="27" t="n">
        <f aca="false">E35-E36</f>
        <v>6865.38</v>
      </c>
      <c r="F37" s="24" t="s">
        <v>67</v>
      </c>
    </row>
    <row r="38" customFormat="false" ht="18" hidden="false" customHeight="true" outlineLevel="0" collapsed="false">
      <c r="A38" s="5" t="s">
        <v>68</v>
      </c>
      <c r="B38" s="5"/>
      <c r="C38" s="5"/>
      <c r="D38" s="5"/>
      <c r="E38" s="5"/>
      <c r="F38" s="5"/>
    </row>
    <row r="39" customFormat="false" ht="15" hidden="false" customHeight="true" outlineLevel="0" collapsed="false">
      <c r="A39" s="34" t="s">
        <v>69</v>
      </c>
      <c r="B39" s="34" t="s">
        <v>70</v>
      </c>
      <c r="C39" s="34" t="s">
        <v>71</v>
      </c>
      <c r="D39" s="34" t="s">
        <v>72</v>
      </c>
      <c r="E39" s="34" t="s">
        <v>73</v>
      </c>
      <c r="F39" s="34" t="s">
        <v>74</v>
      </c>
    </row>
    <row r="40" customFormat="false" ht="15.75" hidden="false" customHeight="true" outlineLevel="0" collapsed="false">
      <c r="A40" s="35" t="n">
        <v>2</v>
      </c>
      <c r="B40" s="36" t="n">
        <f aca="false">A40*E34</f>
        <v>86</v>
      </c>
      <c r="C40" s="20" t="n">
        <f aca="false">B40*E21</f>
        <v>23220</v>
      </c>
      <c r="D40" s="20" t="n">
        <f aca="false">B40*E19</f>
        <v>9489.24</v>
      </c>
      <c r="E40" s="27" t="n">
        <f aca="false">C40-D40</f>
        <v>13730.76</v>
      </c>
      <c r="F40" s="37" t="n">
        <f aca="false">(E40-E27)*(1-0.15)</f>
        <v>3171.146</v>
      </c>
    </row>
    <row r="41" customFormat="false" ht="15.75" hidden="false" customHeight="true" outlineLevel="0" collapsed="false">
      <c r="A41" s="38" t="n">
        <v>5</v>
      </c>
      <c r="B41" s="39" t="n">
        <f aca="false">A41*E34</f>
        <v>215</v>
      </c>
      <c r="C41" s="23" t="n">
        <f aca="false">B41*E21</f>
        <v>58050</v>
      </c>
      <c r="D41" s="23" t="n">
        <f aca="false">B41*E19</f>
        <v>23723.1</v>
      </c>
      <c r="E41" s="27" t="n">
        <f aca="false">C41-D41</f>
        <v>34326.9</v>
      </c>
      <c r="F41" s="37" t="n">
        <f aca="false">(E41-E27)*(1-0.15)</f>
        <v>20677.865</v>
      </c>
    </row>
    <row r="42" customFormat="false" ht="15.75" hidden="false" customHeight="true" outlineLevel="0" collapsed="false">
      <c r="A42" s="35" t="n">
        <v>10</v>
      </c>
      <c r="B42" s="36" t="n">
        <f aca="false">A42*E34</f>
        <v>430</v>
      </c>
      <c r="C42" s="20" t="n">
        <f aca="false">B42*E21</f>
        <v>116100</v>
      </c>
      <c r="D42" s="20" t="n">
        <f aca="false">B42*E19</f>
        <v>47446.2</v>
      </c>
      <c r="E42" s="27" t="n">
        <f aca="false">C42-D42</f>
        <v>68653.8</v>
      </c>
      <c r="F42" s="37" t="n">
        <f aca="false">(E42-E27)*(1-0.15)</f>
        <v>49855.73</v>
      </c>
    </row>
    <row r="43" customFormat="false" ht="15.75" hidden="false" customHeight="true" outlineLevel="0" collapsed="false">
      <c r="A43" s="38" t="n">
        <v>15</v>
      </c>
      <c r="B43" s="39" t="n">
        <f aca="false">A43*E34</f>
        <v>645</v>
      </c>
      <c r="C43" s="23" t="n">
        <f aca="false">B43*E21</f>
        <v>174150</v>
      </c>
      <c r="D43" s="23" t="n">
        <f aca="false">B43*E19</f>
        <v>71169.3</v>
      </c>
      <c r="E43" s="27" t="n">
        <f aca="false">C43-D43</f>
        <v>102980.7</v>
      </c>
      <c r="F43" s="37" t="n">
        <f aca="false">(E43-E27)*(1-0.15)</f>
        <v>79033.595</v>
      </c>
    </row>
    <row r="44" customFormat="false" ht="15.75" hidden="false" customHeight="true" outlineLevel="0" collapsed="false">
      <c r="A44" s="35" t="n">
        <v>20</v>
      </c>
      <c r="B44" s="36" t="n">
        <f aca="false">A44*E34</f>
        <v>860</v>
      </c>
      <c r="C44" s="20" t="n">
        <f aca="false">B44*E21</f>
        <v>232200</v>
      </c>
      <c r="D44" s="20" t="n">
        <f aca="false">B44*E19</f>
        <v>94892.4</v>
      </c>
      <c r="E44" s="27" t="n">
        <f aca="false">C44-D44</f>
        <v>137307.6</v>
      </c>
      <c r="F44" s="37" t="n">
        <f aca="false">(E44-E27)*(1-0.15)</f>
        <v>108211.46</v>
      </c>
    </row>
    <row r="45" customFormat="false" ht="15.75" hidden="false" customHeight="true" outlineLevel="0" collapsed="false">
      <c r="A45" s="38" t="n">
        <v>30</v>
      </c>
      <c r="B45" s="39" t="n">
        <f aca="false">A45*E34</f>
        <v>1290</v>
      </c>
      <c r="C45" s="23" t="n">
        <f aca="false">B45*E21</f>
        <v>348300</v>
      </c>
      <c r="D45" s="23" t="n">
        <f aca="false">B45*E19</f>
        <v>142338.6</v>
      </c>
      <c r="E45" s="27" t="n">
        <f aca="false">C45-D45</f>
        <v>205961.4</v>
      </c>
      <c r="F45" s="37" t="n">
        <f aca="false">(E45-E27)*(1-0.15)</f>
        <v>166567.19</v>
      </c>
    </row>
    <row r="46" customFormat="false" ht="13.5" hidden="false" customHeight="true" outlineLevel="0" collapsed="false">
      <c r="A46" s="40" t="s">
        <v>75</v>
      </c>
      <c r="B46" s="40"/>
      <c r="C46" s="40"/>
      <c r="D46" s="40"/>
      <c r="E46" s="40"/>
      <c r="F46" s="40"/>
    </row>
  </sheetData>
  <mergeCells count="8">
    <mergeCell ref="A1:F1"/>
    <mergeCell ref="A4:F4"/>
    <mergeCell ref="A13:F13"/>
    <mergeCell ref="A20:F20"/>
    <mergeCell ref="A26:F26"/>
    <mergeCell ref="A32:F32"/>
    <mergeCell ref="A38:F38"/>
    <mergeCell ref="A46:F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50"/>
  </cols>
  <sheetData>
    <row r="1" customFormat="false" ht="31.5" hidden="false" customHeight="true" outlineLevel="0" collapsed="false">
      <c r="A1" s="41" t="s">
        <v>76</v>
      </c>
      <c r="B1" s="41"/>
      <c r="C1" s="41"/>
    </row>
    <row r="2" customFormat="false" ht="15.75" hidden="false" customHeight="true" outlineLevel="0" collapsed="false">
      <c r="A2" s="42" t="s">
        <v>77</v>
      </c>
      <c r="B2" s="42"/>
      <c r="C2" s="42"/>
    </row>
    <row r="3" customFormat="false" ht="15.75" hidden="false" customHeight="true" outlineLevel="0" collapsed="false">
      <c r="A3" s="43" t="s">
        <v>78</v>
      </c>
      <c r="B3" s="44" t="s">
        <v>79</v>
      </c>
      <c r="C3" s="45" t="s">
        <v>80</v>
      </c>
    </row>
    <row r="4" customFormat="false" ht="15.75" hidden="false" customHeight="true" outlineLevel="0" collapsed="false">
      <c r="A4" s="46" t="s">
        <v>81</v>
      </c>
      <c r="B4" s="47" t="s">
        <v>82</v>
      </c>
      <c r="C4" s="48" t="s">
        <v>83</v>
      </c>
    </row>
    <row r="5" customFormat="false" ht="15.75" hidden="false" customHeight="true" outlineLevel="0" collapsed="false">
      <c r="A5" s="43" t="s">
        <v>84</v>
      </c>
      <c r="B5" s="44" t="s">
        <v>85</v>
      </c>
      <c r="C5" s="45" t="s">
        <v>86</v>
      </c>
    </row>
    <row r="6" customFormat="false" ht="15.75" hidden="false" customHeight="true" outlineLevel="0" collapsed="false">
      <c r="A6" s="46" t="s">
        <v>87</v>
      </c>
      <c r="B6" s="47" t="s">
        <v>88</v>
      </c>
      <c r="C6" s="48" t="s">
        <v>89</v>
      </c>
    </row>
    <row r="7" customFormat="false" ht="15.75" hidden="false" customHeight="true" outlineLevel="0" collapsed="false"/>
    <row r="8" customFormat="false" ht="15.75" hidden="false" customHeight="true" outlineLevel="0" collapsed="false">
      <c r="A8" s="42" t="s">
        <v>90</v>
      </c>
      <c r="B8" s="42"/>
      <c r="C8" s="42"/>
    </row>
    <row r="9" customFormat="false" ht="15.75" hidden="false" customHeight="true" outlineLevel="0" collapsed="false">
      <c r="A9" s="43" t="s">
        <v>91</v>
      </c>
      <c r="B9" s="44" t="s">
        <v>92</v>
      </c>
      <c r="C9" s="45" t="s">
        <v>93</v>
      </c>
    </row>
    <row r="10" customFormat="false" ht="15.75" hidden="false" customHeight="true" outlineLevel="0" collapsed="false">
      <c r="A10" s="46" t="s">
        <v>13</v>
      </c>
      <c r="B10" s="47" t="s">
        <v>14</v>
      </c>
      <c r="C10" s="48" t="s">
        <v>94</v>
      </c>
    </row>
    <row r="11" customFormat="false" ht="15.75" hidden="false" customHeight="true" outlineLevel="0" collapsed="false">
      <c r="A11" s="43" t="s">
        <v>95</v>
      </c>
      <c r="B11" s="44" t="s">
        <v>96</v>
      </c>
      <c r="C11" s="45" t="s">
        <v>97</v>
      </c>
    </row>
    <row r="12" customFormat="false" ht="15.75" hidden="false" customHeight="true" outlineLevel="0" collapsed="false"/>
    <row r="13" customFormat="false" ht="15.75" hidden="false" customHeight="true" outlineLevel="0" collapsed="false">
      <c r="A13" s="42" t="s">
        <v>98</v>
      </c>
      <c r="B13" s="42"/>
      <c r="C13" s="42"/>
    </row>
    <row r="14" customFormat="false" ht="15.75" hidden="false" customHeight="true" outlineLevel="0" collapsed="false">
      <c r="A14" s="46" t="s">
        <v>99</v>
      </c>
      <c r="B14" s="47" t="s">
        <v>100</v>
      </c>
      <c r="C14" s="48" t="s">
        <v>101</v>
      </c>
    </row>
    <row r="15" customFormat="false" ht="15.75" hidden="false" customHeight="true" outlineLevel="0" collapsed="false">
      <c r="A15" s="43" t="s">
        <v>102</v>
      </c>
      <c r="B15" s="44" t="s">
        <v>103</v>
      </c>
      <c r="C15" s="45" t="s">
        <v>104</v>
      </c>
    </row>
    <row r="16" customFormat="false" ht="15.75" hidden="false" customHeight="true" outlineLevel="0" collapsed="false">
      <c r="A16" s="46" t="s">
        <v>105</v>
      </c>
      <c r="B16" s="47" t="s">
        <v>106</v>
      </c>
      <c r="C16" s="48" t="s">
        <v>107</v>
      </c>
    </row>
    <row r="17" customFormat="false" ht="15.75" hidden="false" customHeight="true" outlineLevel="0" collapsed="false">
      <c r="A17" s="43" t="s">
        <v>108</v>
      </c>
      <c r="B17" s="44" t="s">
        <v>109</v>
      </c>
      <c r="C17" s="45" t="s">
        <v>110</v>
      </c>
    </row>
    <row r="18" customFormat="false" ht="15.75" hidden="false" customHeight="true" outlineLevel="0" collapsed="false"/>
    <row r="19" customFormat="false" ht="15.75" hidden="false" customHeight="true" outlineLevel="0" collapsed="false">
      <c r="A19" s="42" t="s">
        <v>111</v>
      </c>
      <c r="B19" s="42"/>
      <c r="C19" s="42"/>
    </row>
    <row r="20" customFormat="false" ht="15.75" hidden="false" customHeight="true" outlineLevel="0" collapsed="false">
      <c r="A20" s="46" t="s">
        <v>112</v>
      </c>
      <c r="B20" s="47" t="s">
        <v>113</v>
      </c>
      <c r="C20" s="48" t="s">
        <v>114</v>
      </c>
    </row>
    <row r="21" customFormat="false" ht="15.75" hidden="false" customHeight="true" outlineLevel="0" collapsed="false">
      <c r="A21" s="43" t="s">
        <v>115</v>
      </c>
      <c r="B21" s="44" t="s">
        <v>116</v>
      </c>
      <c r="C21" s="45" t="s">
        <v>117</v>
      </c>
    </row>
    <row r="22" customFormat="false" ht="15.75" hidden="false" customHeight="true" outlineLevel="0" collapsed="false">
      <c r="A22" s="46" t="s">
        <v>118</v>
      </c>
      <c r="B22" s="47" t="s">
        <v>119</v>
      </c>
      <c r="C22" s="48" t="s">
        <v>120</v>
      </c>
    </row>
    <row r="23" customFormat="false" ht="15.75" hidden="false" customHeight="true" outlineLevel="0" collapsed="false"/>
    <row r="24" customFormat="false" ht="15.75" hidden="false" customHeight="true" outlineLevel="0" collapsed="false">
      <c r="A24" s="42" t="s">
        <v>121</v>
      </c>
      <c r="B24" s="42"/>
      <c r="C24" s="42"/>
    </row>
    <row r="25" customFormat="false" ht="15.75" hidden="false" customHeight="true" outlineLevel="0" collapsed="false">
      <c r="A25" s="43" t="s">
        <v>122</v>
      </c>
      <c r="B25" s="44" t="s">
        <v>123</v>
      </c>
      <c r="C25" s="45"/>
    </row>
    <row r="26" customFormat="false" ht="15.75" hidden="false" customHeight="true" outlineLevel="0" collapsed="false">
      <c r="A26" s="46" t="s">
        <v>124</v>
      </c>
      <c r="B26" s="47" t="s">
        <v>125</v>
      </c>
      <c r="C26" s="48" t="s">
        <v>126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N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3" min="2" style="1" width="10.51"/>
    <col collapsed="false" customWidth="true" hidden="false" outlineLevel="0" max="14" min="14" style="1" width="13"/>
  </cols>
  <sheetData>
    <row r="1" customFormat="false" ht="37.5" hidden="false" customHeight="true" outlineLevel="0" collapsed="false">
      <c r="A1" s="49" t="s">
        <v>127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customFormat="false" ht="15" hidden="false" customHeight="true" outlineLevel="0" collapsed="false">
      <c r="A2" s="50" t="s">
        <v>128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customFormat="false" ht="13.5" hidden="false" customHeight="true" outlineLevel="0" collapsed="false">
      <c r="A3" s="40" t="s">
        <v>129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customFormat="false" ht="19.5" hidden="false" customHeight="true" outlineLevel="0" collapsed="false">
      <c r="A4" s="51" t="s">
        <v>130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</row>
    <row r="5" customFormat="false" ht="18.75" hidden="false" customHeight="true" outlineLevel="0" collapsed="false">
      <c r="A5" s="52" t="s">
        <v>2</v>
      </c>
      <c r="B5" s="52" t="s">
        <v>131</v>
      </c>
      <c r="C5" s="52" t="s">
        <v>132</v>
      </c>
      <c r="D5" s="52" t="s">
        <v>133</v>
      </c>
      <c r="E5" s="52" t="s">
        <v>134</v>
      </c>
      <c r="F5" s="52" t="s">
        <v>135</v>
      </c>
      <c r="G5" s="52" t="s">
        <v>136</v>
      </c>
      <c r="H5" s="52" t="s">
        <v>137</v>
      </c>
      <c r="I5" s="52" t="s">
        <v>138</v>
      </c>
      <c r="J5" s="52" t="s">
        <v>139</v>
      </c>
      <c r="K5" s="52" t="s">
        <v>140</v>
      </c>
      <c r="L5" s="52" t="s">
        <v>141</v>
      </c>
      <c r="M5" s="52" t="s">
        <v>142</v>
      </c>
      <c r="N5" s="52" t="s">
        <v>143</v>
      </c>
    </row>
    <row r="6" customFormat="false" ht="18" hidden="false" customHeight="true" outlineLevel="0" collapsed="false">
      <c r="A6" s="53" t="s">
        <v>144</v>
      </c>
      <c r="B6" s="54" t="n">
        <v>5</v>
      </c>
      <c r="C6" s="54" t="n">
        <v>7</v>
      </c>
      <c r="D6" s="54" t="n">
        <v>8</v>
      </c>
      <c r="E6" s="54" t="n">
        <v>10</v>
      </c>
      <c r="F6" s="54" t="n">
        <v>12</v>
      </c>
      <c r="G6" s="54" t="n">
        <v>13</v>
      </c>
      <c r="H6" s="54" t="n">
        <v>15</v>
      </c>
      <c r="I6" s="54" t="n">
        <v>16</v>
      </c>
      <c r="J6" s="54" t="n">
        <v>18</v>
      </c>
      <c r="K6" s="54" t="n">
        <v>20</v>
      </c>
      <c r="L6" s="54" t="n">
        <v>22</v>
      </c>
      <c r="M6" s="54" t="n">
        <v>24</v>
      </c>
      <c r="N6" s="54" t="n">
        <v>170</v>
      </c>
    </row>
    <row r="7" customFormat="false" ht="15" hidden="false" customHeight="true" outlineLevel="0" collapsed="false">
      <c r="A7" s="13" t="s">
        <v>145</v>
      </c>
      <c r="B7" s="55" t="n">
        <v>65</v>
      </c>
      <c r="C7" s="55" t="n">
        <v>65</v>
      </c>
      <c r="D7" s="55" t="n">
        <v>65</v>
      </c>
      <c r="E7" s="55" t="n">
        <v>65</v>
      </c>
      <c r="F7" s="55" t="n">
        <v>65</v>
      </c>
      <c r="G7" s="55" t="n">
        <v>108</v>
      </c>
      <c r="H7" s="55" t="n">
        <v>108</v>
      </c>
      <c r="I7" s="55" t="n">
        <v>108</v>
      </c>
      <c r="J7" s="55" t="n">
        <v>108</v>
      </c>
      <c r="K7" s="55" t="n">
        <v>108</v>
      </c>
      <c r="L7" s="55" t="n">
        <v>108</v>
      </c>
      <c r="M7" s="55" t="n">
        <v>108</v>
      </c>
      <c r="N7" s="55" t="n">
        <v>1081</v>
      </c>
    </row>
    <row r="8" customFormat="false" ht="16.5" hidden="false" customHeight="true" outlineLevel="0" collapsed="false">
      <c r="A8" s="56" t="s">
        <v>146</v>
      </c>
      <c r="B8" s="57" t="n">
        <v>325</v>
      </c>
      <c r="C8" s="57" t="n">
        <v>455</v>
      </c>
      <c r="D8" s="57" t="n">
        <v>520</v>
      </c>
      <c r="E8" s="57" t="n">
        <v>650</v>
      </c>
      <c r="F8" s="57" t="n">
        <v>780</v>
      </c>
      <c r="G8" s="57" t="n">
        <v>1404</v>
      </c>
      <c r="H8" s="57" t="n">
        <v>1620</v>
      </c>
      <c r="I8" s="57" t="n">
        <v>1728</v>
      </c>
      <c r="J8" s="57" t="n">
        <v>1944</v>
      </c>
      <c r="K8" s="57" t="n">
        <v>2160</v>
      </c>
      <c r="L8" s="57" t="n">
        <v>2376</v>
      </c>
      <c r="M8" s="57" t="n">
        <v>2592</v>
      </c>
      <c r="N8" s="57" t="n">
        <v>16554</v>
      </c>
    </row>
    <row r="9" customFormat="false" ht="13.5" hidden="false" customHeight="true" outlineLevel="0" collapsed="false">
      <c r="A9" s="58" t="s">
        <v>147</v>
      </c>
      <c r="B9" s="59" t="n">
        <v>130</v>
      </c>
      <c r="C9" s="59" t="n">
        <v>182</v>
      </c>
      <c r="D9" s="59" t="n">
        <v>208</v>
      </c>
      <c r="E9" s="59" t="n">
        <v>260</v>
      </c>
      <c r="F9" s="59" t="n">
        <v>312</v>
      </c>
      <c r="G9" s="59" t="n">
        <v>561.6</v>
      </c>
      <c r="H9" s="59" t="n">
        <v>648</v>
      </c>
      <c r="I9" s="59" t="n">
        <v>691.2</v>
      </c>
      <c r="J9" s="59" t="n">
        <v>777.6</v>
      </c>
      <c r="K9" s="59" t="n">
        <v>864</v>
      </c>
      <c r="L9" s="59" t="n">
        <v>950.4</v>
      </c>
      <c r="M9" s="59" t="n">
        <v>1036.8</v>
      </c>
      <c r="N9" s="59" t="n">
        <v>6621.6</v>
      </c>
    </row>
    <row r="10" customFormat="false" ht="13.5" hidden="false" customHeight="true" outlineLevel="0" collapsed="false">
      <c r="A10" s="58" t="s">
        <v>148</v>
      </c>
      <c r="B10" s="59" t="n">
        <v>130</v>
      </c>
      <c r="C10" s="59" t="n">
        <v>182</v>
      </c>
      <c r="D10" s="59" t="n">
        <v>208</v>
      </c>
      <c r="E10" s="59" t="n">
        <v>260</v>
      </c>
      <c r="F10" s="59" t="n">
        <v>312</v>
      </c>
      <c r="G10" s="59" t="n">
        <v>561.6</v>
      </c>
      <c r="H10" s="59" t="n">
        <v>648</v>
      </c>
      <c r="I10" s="59" t="n">
        <v>691.2</v>
      </c>
      <c r="J10" s="59" t="n">
        <v>777.6</v>
      </c>
      <c r="K10" s="59" t="n">
        <v>864</v>
      </c>
      <c r="L10" s="59" t="n">
        <v>950.4</v>
      </c>
      <c r="M10" s="59" t="n">
        <v>1036.8</v>
      </c>
      <c r="N10" s="59" t="n">
        <v>6621.6</v>
      </c>
    </row>
    <row r="11" customFormat="false" ht="13.5" hidden="false" customHeight="true" outlineLevel="0" collapsed="false">
      <c r="A11" s="58" t="s">
        <v>149</v>
      </c>
      <c r="B11" s="59" t="n">
        <v>65</v>
      </c>
      <c r="C11" s="59" t="n">
        <v>91</v>
      </c>
      <c r="D11" s="59" t="n">
        <v>104</v>
      </c>
      <c r="E11" s="59" t="n">
        <v>130</v>
      </c>
      <c r="F11" s="59" t="n">
        <v>156</v>
      </c>
      <c r="G11" s="59" t="n">
        <v>280.8</v>
      </c>
      <c r="H11" s="59" t="n">
        <v>324</v>
      </c>
      <c r="I11" s="59" t="n">
        <v>345.6</v>
      </c>
      <c r="J11" s="59" t="n">
        <v>388.8</v>
      </c>
      <c r="K11" s="59" t="n">
        <v>432</v>
      </c>
      <c r="L11" s="59" t="n">
        <v>475.2</v>
      </c>
      <c r="M11" s="59" t="n">
        <v>518.4</v>
      </c>
      <c r="N11" s="59" t="n">
        <v>3310.8</v>
      </c>
    </row>
    <row r="12" customFormat="false" ht="4.5" hidden="false" customHeight="true" outlineLevel="0" collapsed="false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</row>
    <row r="13" customFormat="false" ht="19.5" hidden="false" customHeight="true" outlineLevel="0" collapsed="false">
      <c r="A13" s="61" t="s">
        <v>150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</row>
    <row r="14" customFormat="false" ht="16.5" hidden="false" customHeight="true" outlineLevel="0" collapsed="false">
      <c r="A14" s="62" t="s">
        <v>151</v>
      </c>
      <c r="B14" s="63" t="n">
        <v>35100</v>
      </c>
      <c r="C14" s="63" t="n">
        <v>49140</v>
      </c>
      <c r="D14" s="63" t="n">
        <v>56160</v>
      </c>
      <c r="E14" s="63" t="n">
        <v>70200</v>
      </c>
      <c r="F14" s="63" t="n">
        <v>84240</v>
      </c>
      <c r="G14" s="63" t="n">
        <v>151632</v>
      </c>
      <c r="H14" s="63" t="n">
        <v>174960</v>
      </c>
      <c r="I14" s="63" t="n">
        <v>186624</v>
      </c>
      <c r="J14" s="63" t="n">
        <v>209952</v>
      </c>
      <c r="K14" s="63" t="n">
        <v>233280</v>
      </c>
      <c r="L14" s="63" t="n">
        <v>256608</v>
      </c>
      <c r="M14" s="63" t="n">
        <v>279936</v>
      </c>
      <c r="N14" s="64" t="n">
        <v>1787832</v>
      </c>
    </row>
    <row r="15" customFormat="false" ht="16.5" hidden="false" customHeight="true" outlineLevel="0" collapsed="false">
      <c r="A15" s="65" t="s">
        <v>152</v>
      </c>
      <c r="B15" s="66" t="n">
        <v>35100</v>
      </c>
      <c r="C15" s="66" t="n">
        <v>49140</v>
      </c>
      <c r="D15" s="66" t="n">
        <v>56160</v>
      </c>
      <c r="E15" s="66" t="n">
        <v>70200</v>
      </c>
      <c r="F15" s="66" t="n">
        <v>84240</v>
      </c>
      <c r="G15" s="66" t="n">
        <v>151632</v>
      </c>
      <c r="H15" s="66" t="n">
        <v>174960</v>
      </c>
      <c r="I15" s="66" t="n">
        <v>186624</v>
      </c>
      <c r="J15" s="66" t="n">
        <v>209952</v>
      </c>
      <c r="K15" s="66" t="n">
        <v>233280</v>
      </c>
      <c r="L15" s="66" t="n">
        <v>256608</v>
      </c>
      <c r="M15" s="66" t="n">
        <v>279936</v>
      </c>
      <c r="N15" s="67" t="n">
        <v>1787832</v>
      </c>
    </row>
    <row r="16" customFormat="false" ht="16.5" hidden="false" customHeight="true" outlineLevel="0" collapsed="false">
      <c r="A16" s="62" t="s">
        <v>153</v>
      </c>
      <c r="B16" s="63" t="n">
        <v>17550</v>
      </c>
      <c r="C16" s="63" t="n">
        <v>24570</v>
      </c>
      <c r="D16" s="63" t="n">
        <v>28080</v>
      </c>
      <c r="E16" s="63" t="n">
        <v>35100</v>
      </c>
      <c r="F16" s="63" t="n">
        <v>42120</v>
      </c>
      <c r="G16" s="63" t="n">
        <v>75816</v>
      </c>
      <c r="H16" s="63" t="n">
        <v>87480</v>
      </c>
      <c r="I16" s="63" t="n">
        <v>93312</v>
      </c>
      <c r="J16" s="63" t="n">
        <v>104976</v>
      </c>
      <c r="K16" s="63" t="n">
        <v>116640</v>
      </c>
      <c r="L16" s="63" t="n">
        <v>128304</v>
      </c>
      <c r="M16" s="63" t="n">
        <v>139968</v>
      </c>
      <c r="N16" s="64" t="n">
        <v>893916</v>
      </c>
    </row>
    <row r="17" customFormat="false" ht="18.75" hidden="false" customHeight="true" outlineLevel="0" collapsed="false">
      <c r="A17" s="68" t="s">
        <v>154</v>
      </c>
      <c r="B17" s="69" t="n">
        <v>87750</v>
      </c>
      <c r="C17" s="69" t="n">
        <v>122850</v>
      </c>
      <c r="D17" s="69" t="n">
        <v>140400</v>
      </c>
      <c r="E17" s="69" t="n">
        <v>175500</v>
      </c>
      <c r="F17" s="69" t="n">
        <v>210600</v>
      </c>
      <c r="G17" s="69" t="n">
        <v>379080</v>
      </c>
      <c r="H17" s="69" t="n">
        <v>437400</v>
      </c>
      <c r="I17" s="69" t="n">
        <v>466560</v>
      </c>
      <c r="J17" s="69" t="n">
        <v>524880</v>
      </c>
      <c r="K17" s="69" t="n">
        <v>583200</v>
      </c>
      <c r="L17" s="69" t="n">
        <v>641520</v>
      </c>
      <c r="M17" s="69" t="n">
        <v>699840</v>
      </c>
      <c r="N17" s="69" t="n">
        <v>4469580</v>
      </c>
    </row>
    <row r="18" customFormat="false" ht="4.5" hidden="false" customHeight="true" outlineLevel="0" collapsed="false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</row>
    <row r="19" customFormat="false" ht="19.5" hidden="false" customHeight="true" outlineLevel="0" collapsed="false">
      <c r="A19" s="70" t="s">
        <v>155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</row>
    <row r="20" customFormat="false" ht="13.5" hidden="false" customHeight="true" outlineLevel="0" collapsed="false">
      <c r="A20" s="71" t="s">
        <v>156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</row>
    <row r="21" customFormat="false" ht="16.5" hidden="false" customHeight="true" outlineLevel="0" collapsed="false">
      <c r="A21" s="73" t="s">
        <v>157</v>
      </c>
      <c r="B21" s="74" t="n">
        <v>9360</v>
      </c>
      <c r="C21" s="74" t="n">
        <v>13104</v>
      </c>
      <c r="D21" s="74" t="n">
        <v>14976</v>
      </c>
      <c r="E21" s="74" t="n">
        <v>18720</v>
      </c>
      <c r="F21" s="74" t="n">
        <v>22464</v>
      </c>
      <c r="G21" s="74" t="n">
        <v>40435.2</v>
      </c>
      <c r="H21" s="74" t="n">
        <v>46656</v>
      </c>
      <c r="I21" s="74" t="n">
        <v>49766.4</v>
      </c>
      <c r="J21" s="74" t="n">
        <v>55987.2</v>
      </c>
      <c r="K21" s="74" t="n">
        <v>62208</v>
      </c>
      <c r="L21" s="74" t="n">
        <v>68428.8</v>
      </c>
      <c r="M21" s="74" t="n">
        <v>74649.6</v>
      </c>
      <c r="N21" s="75" t="n">
        <v>476755.2</v>
      </c>
    </row>
    <row r="22" customFormat="false" ht="16.5" hidden="false" customHeight="true" outlineLevel="0" collapsed="false">
      <c r="A22" s="76" t="s">
        <v>158</v>
      </c>
      <c r="B22" s="74" t="n">
        <v>561.6</v>
      </c>
      <c r="C22" s="74" t="n">
        <v>786.24</v>
      </c>
      <c r="D22" s="74" t="n">
        <v>898.56</v>
      </c>
      <c r="E22" s="74" t="n">
        <v>1123.2</v>
      </c>
      <c r="F22" s="74" t="n">
        <v>1347.84</v>
      </c>
      <c r="G22" s="74" t="n">
        <v>2426.11</v>
      </c>
      <c r="H22" s="74" t="n">
        <v>2799.36</v>
      </c>
      <c r="I22" s="74" t="n">
        <v>2985.98</v>
      </c>
      <c r="J22" s="74" t="n">
        <v>3359.23</v>
      </c>
      <c r="K22" s="74" t="n">
        <v>3732.48</v>
      </c>
      <c r="L22" s="74" t="n">
        <v>4105.73</v>
      </c>
      <c r="M22" s="74" t="n">
        <v>4478.98</v>
      </c>
      <c r="N22" s="75" t="n">
        <v>28605.31</v>
      </c>
    </row>
    <row r="23" customFormat="false" ht="16.5" hidden="false" customHeight="true" outlineLevel="0" collapsed="false">
      <c r="A23" s="65" t="s">
        <v>159</v>
      </c>
      <c r="B23" s="66" t="n">
        <v>13780</v>
      </c>
      <c r="C23" s="66" t="n">
        <v>19292</v>
      </c>
      <c r="D23" s="66" t="n">
        <v>22048</v>
      </c>
      <c r="E23" s="66" t="n">
        <v>27560</v>
      </c>
      <c r="F23" s="66" t="n">
        <v>33072</v>
      </c>
      <c r="G23" s="66" t="n">
        <v>59529.6</v>
      </c>
      <c r="H23" s="66" t="n">
        <v>68688</v>
      </c>
      <c r="I23" s="66" t="n">
        <v>73267.2</v>
      </c>
      <c r="J23" s="66" t="n">
        <v>82425.6</v>
      </c>
      <c r="K23" s="66" t="n">
        <v>91584</v>
      </c>
      <c r="L23" s="66" t="n">
        <v>100742.4</v>
      </c>
      <c r="M23" s="66" t="n">
        <v>109900.8</v>
      </c>
      <c r="N23" s="67" t="n">
        <v>701889.6</v>
      </c>
    </row>
    <row r="24" customFormat="false" ht="16.5" hidden="false" customHeight="true" outlineLevel="0" collapsed="false">
      <c r="A24" s="77" t="s">
        <v>160</v>
      </c>
      <c r="B24" s="66" t="n">
        <v>826.8</v>
      </c>
      <c r="C24" s="66" t="n">
        <v>1157.52</v>
      </c>
      <c r="D24" s="66" t="n">
        <v>1322.88</v>
      </c>
      <c r="E24" s="66" t="n">
        <v>1653.6</v>
      </c>
      <c r="F24" s="66" t="n">
        <v>1984.32</v>
      </c>
      <c r="G24" s="66" t="n">
        <v>3571.78</v>
      </c>
      <c r="H24" s="66" t="n">
        <v>4121.28</v>
      </c>
      <c r="I24" s="66" t="n">
        <v>4396.03</v>
      </c>
      <c r="J24" s="66" t="n">
        <v>4945.54</v>
      </c>
      <c r="K24" s="66" t="n">
        <v>5495.04</v>
      </c>
      <c r="L24" s="66" t="n">
        <v>6044.54</v>
      </c>
      <c r="M24" s="66" t="n">
        <v>6594.05</v>
      </c>
      <c r="N24" s="67" t="n">
        <v>42113.38</v>
      </c>
    </row>
    <row r="25" customFormat="false" ht="16.5" hidden="false" customHeight="true" outlineLevel="0" collapsed="false">
      <c r="A25" s="73" t="s">
        <v>161</v>
      </c>
      <c r="B25" s="74" t="n">
        <v>5785</v>
      </c>
      <c r="C25" s="74" t="n">
        <v>8099</v>
      </c>
      <c r="D25" s="74" t="n">
        <v>9256</v>
      </c>
      <c r="E25" s="74" t="n">
        <v>11570</v>
      </c>
      <c r="F25" s="74" t="n">
        <v>13884</v>
      </c>
      <c r="G25" s="74" t="n">
        <v>24991.2</v>
      </c>
      <c r="H25" s="74" t="n">
        <v>28836</v>
      </c>
      <c r="I25" s="74" t="n">
        <v>30758.4</v>
      </c>
      <c r="J25" s="74" t="n">
        <v>34603.2</v>
      </c>
      <c r="K25" s="74" t="n">
        <v>38448</v>
      </c>
      <c r="L25" s="74" t="n">
        <v>42292.8</v>
      </c>
      <c r="M25" s="74" t="n">
        <v>46137.6</v>
      </c>
      <c r="N25" s="75" t="n">
        <v>294661.2</v>
      </c>
    </row>
    <row r="26" customFormat="false" ht="16.5" hidden="false" customHeight="true" outlineLevel="0" collapsed="false">
      <c r="A26" s="76" t="s">
        <v>162</v>
      </c>
      <c r="B26" s="74" t="n">
        <v>347.1</v>
      </c>
      <c r="C26" s="74" t="n">
        <v>485.94</v>
      </c>
      <c r="D26" s="74" t="n">
        <v>555.36</v>
      </c>
      <c r="E26" s="74" t="n">
        <v>694.2</v>
      </c>
      <c r="F26" s="74" t="n">
        <v>833.04</v>
      </c>
      <c r="G26" s="74" t="n">
        <v>1499.47</v>
      </c>
      <c r="H26" s="74" t="n">
        <v>1730.16</v>
      </c>
      <c r="I26" s="74" t="n">
        <v>1845.5</v>
      </c>
      <c r="J26" s="74" t="n">
        <v>2076.19</v>
      </c>
      <c r="K26" s="74" t="n">
        <v>2306.88</v>
      </c>
      <c r="L26" s="74" t="n">
        <v>2537.57</v>
      </c>
      <c r="M26" s="74" t="n">
        <v>2768.26</v>
      </c>
      <c r="N26" s="75" t="n">
        <v>17679.67</v>
      </c>
    </row>
    <row r="27" customFormat="false" ht="3" hidden="false" customHeight="true" outlineLevel="0" collapsed="false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</row>
    <row r="28" customFormat="false" ht="16.5" hidden="false" customHeight="true" outlineLevel="0" collapsed="false">
      <c r="A28" s="65" t="s">
        <v>163</v>
      </c>
      <c r="B28" s="66" t="n">
        <v>3250</v>
      </c>
      <c r="C28" s="66" t="n">
        <v>4550</v>
      </c>
      <c r="D28" s="66" t="n">
        <v>5200</v>
      </c>
      <c r="E28" s="66" t="n">
        <v>6500</v>
      </c>
      <c r="F28" s="66" t="n">
        <v>7800</v>
      </c>
      <c r="G28" s="66" t="n">
        <v>14040</v>
      </c>
      <c r="H28" s="66" t="n">
        <v>16200</v>
      </c>
      <c r="I28" s="66" t="n">
        <v>17280</v>
      </c>
      <c r="J28" s="66" t="n">
        <v>19440</v>
      </c>
      <c r="K28" s="66" t="n">
        <v>21600</v>
      </c>
      <c r="L28" s="66" t="n">
        <v>23760</v>
      </c>
      <c r="M28" s="66" t="n">
        <v>25920</v>
      </c>
      <c r="N28" s="67" t="n">
        <v>165540</v>
      </c>
    </row>
    <row r="29" customFormat="false" ht="16.5" hidden="false" customHeight="true" outlineLevel="0" collapsed="false">
      <c r="A29" s="73" t="s">
        <v>31</v>
      </c>
      <c r="B29" s="74" t="n">
        <v>1300</v>
      </c>
      <c r="C29" s="74" t="n">
        <v>1820</v>
      </c>
      <c r="D29" s="74" t="n">
        <v>2080</v>
      </c>
      <c r="E29" s="74" t="n">
        <v>2600</v>
      </c>
      <c r="F29" s="74" t="n">
        <v>3120</v>
      </c>
      <c r="G29" s="74" t="n">
        <v>5616</v>
      </c>
      <c r="H29" s="74" t="n">
        <v>6480</v>
      </c>
      <c r="I29" s="74" t="n">
        <v>6912</v>
      </c>
      <c r="J29" s="74" t="n">
        <v>7776</v>
      </c>
      <c r="K29" s="74" t="n">
        <v>8640</v>
      </c>
      <c r="L29" s="74" t="n">
        <v>9504</v>
      </c>
      <c r="M29" s="74" t="n">
        <v>10368</v>
      </c>
      <c r="N29" s="75" t="n">
        <v>66216</v>
      </c>
    </row>
    <row r="30" customFormat="false" ht="16.5" hidden="false" customHeight="true" outlineLevel="0" collapsed="false">
      <c r="A30" s="65" t="s">
        <v>33</v>
      </c>
      <c r="B30" s="66" t="n">
        <v>650</v>
      </c>
      <c r="C30" s="66" t="n">
        <v>910</v>
      </c>
      <c r="D30" s="66" t="n">
        <v>1040</v>
      </c>
      <c r="E30" s="66" t="n">
        <v>1300</v>
      </c>
      <c r="F30" s="66" t="n">
        <v>1560</v>
      </c>
      <c r="G30" s="66" t="n">
        <v>2808</v>
      </c>
      <c r="H30" s="66" t="n">
        <v>3240</v>
      </c>
      <c r="I30" s="66" t="n">
        <v>3456</v>
      </c>
      <c r="J30" s="66" t="n">
        <v>3888</v>
      </c>
      <c r="K30" s="66" t="n">
        <v>4320</v>
      </c>
      <c r="L30" s="66" t="n">
        <v>4752</v>
      </c>
      <c r="M30" s="66" t="n">
        <v>5184</v>
      </c>
      <c r="N30" s="67" t="n">
        <v>33108</v>
      </c>
    </row>
    <row r="31" customFormat="false" ht="18.75" hidden="false" customHeight="true" outlineLevel="0" collapsed="false">
      <c r="A31" s="79" t="s">
        <v>164</v>
      </c>
      <c r="B31" s="80" t="n">
        <v>35860.5</v>
      </c>
      <c r="C31" s="80" t="n">
        <v>50204.7</v>
      </c>
      <c r="D31" s="80" t="n">
        <v>57376.8</v>
      </c>
      <c r="E31" s="80" t="n">
        <v>71721</v>
      </c>
      <c r="F31" s="80" t="n">
        <v>86065.2</v>
      </c>
      <c r="G31" s="80" t="n">
        <v>154917.36</v>
      </c>
      <c r="H31" s="80" t="n">
        <v>178750.8</v>
      </c>
      <c r="I31" s="80" t="n">
        <v>190667.52</v>
      </c>
      <c r="J31" s="80" t="n">
        <v>214500.96</v>
      </c>
      <c r="K31" s="80" t="n">
        <v>238334.4</v>
      </c>
      <c r="L31" s="80" t="n">
        <v>262167.84</v>
      </c>
      <c r="M31" s="80" t="n">
        <v>286001.28</v>
      </c>
      <c r="N31" s="80" t="n">
        <v>1826568.36</v>
      </c>
    </row>
    <row r="32" customFormat="false" ht="4.5" hidden="false" customHeight="true" outlineLevel="0" collapsed="false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</row>
    <row r="33" customFormat="false" ht="18.75" hidden="false" customHeight="true" outlineLevel="0" collapsed="false">
      <c r="A33" s="81" t="s">
        <v>165</v>
      </c>
      <c r="B33" s="82" t="n">
        <v>51889.5</v>
      </c>
      <c r="C33" s="82" t="n">
        <v>72645.3</v>
      </c>
      <c r="D33" s="82" t="n">
        <v>83023.2</v>
      </c>
      <c r="E33" s="82" t="n">
        <v>103779</v>
      </c>
      <c r="F33" s="82" t="n">
        <v>124534.8</v>
      </c>
      <c r="G33" s="82" t="n">
        <v>224162.64</v>
      </c>
      <c r="H33" s="82" t="n">
        <v>258649.2</v>
      </c>
      <c r="I33" s="82" t="n">
        <v>275892.48</v>
      </c>
      <c r="J33" s="82" t="n">
        <v>310379.04</v>
      </c>
      <c r="K33" s="82" t="n">
        <v>344865.6</v>
      </c>
      <c r="L33" s="82" t="n">
        <v>379352.16</v>
      </c>
      <c r="M33" s="82" t="n">
        <v>413838.72</v>
      </c>
      <c r="N33" s="82" t="n">
        <v>2643011.64</v>
      </c>
    </row>
    <row r="34" customFormat="false" ht="15" hidden="false" customHeight="true" outlineLevel="0" collapsed="false">
      <c r="A34" s="83" t="s">
        <v>166</v>
      </c>
      <c r="B34" s="84" t="n">
        <v>0.591333</v>
      </c>
      <c r="C34" s="84" t="n">
        <v>0.591333</v>
      </c>
      <c r="D34" s="84" t="n">
        <v>0.591333</v>
      </c>
      <c r="E34" s="84" t="n">
        <v>0.591333</v>
      </c>
      <c r="F34" s="84" t="n">
        <v>0.591333</v>
      </c>
      <c r="G34" s="84" t="n">
        <v>0.591333</v>
      </c>
      <c r="H34" s="84" t="n">
        <v>0.591333</v>
      </c>
      <c r="I34" s="84" t="n">
        <v>0.591333</v>
      </c>
      <c r="J34" s="84" t="n">
        <v>0.591333</v>
      </c>
      <c r="K34" s="84" t="n">
        <v>0.591333</v>
      </c>
      <c r="L34" s="84" t="n">
        <v>0.591333</v>
      </c>
      <c r="M34" s="84" t="n">
        <v>0.591333</v>
      </c>
      <c r="N34" s="84" t="n">
        <v>0.591333</v>
      </c>
    </row>
    <row r="35" customFormat="false" ht="4.5" hidden="false" customHeight="true" outlineLevel="0" collapsed="false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</row>
    <row r="36" customFormat="false" ht="19.5" hidden="false" customHeight="true" outlineLevel="0" collapsed="false">
      <c r="A36" s="85" t="s">
        <v>167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</row>
    <row r="37" customFormat="false" ht="16.5" hidden="false" customHeight="true" outlineLevel="0" collapsed="false">
      <c r="A37" s="86" t="s">
        <v>168</v>
      </c>
      <c r="B37" s="87" t="n">
        <v>0</v>
      </c>
      <c r="C37" s="87" t="n">
        <v>0</v>
      </c>
      <c r="D37" s="87" t="n">
        <v>0</v>
      </c>
      <c r="E37" s="87" t="n">
        <v>0</v>
      </c>
      <c r="F37" s="87" t="n">
        <v>0</v>
      </c>
      <c r="G37" s="87" t="n">
        <v>0</v>
      </c>
      <c r="H37" s="87" t="n">
        <v>0</v>
      </c>
      <c r="I37" s="87" t="n">
        <v>0</v>
      </c>
      <c r="J37" s="87" t="n">
        <v>0</v>
      </c>
      <c r="K37" s="87" t="n">
        <v>0</v>
      </c>
      <c r="L37" s="87" t="n">
        <v>0</v>
      </c>
      <c r="M37" s="87" t="n">
        <v>0</v>
      </c>
      <c r="N37" s="88" t="n">
        <v>0</v>
      </c>
    </row>
    <row r="38" customFormat="false" ht="16.5" hidden="false" customHeight="true" outlineLevel="0" collapsed="false">
      <c r="A38" s="65" t="s">
        <v>169</v>
      </c>
      <c r="B38" s="89" t="n">
        <v>1750</v>
      </c>
      <c r="C38" s="89" t="n">
        <v>2450</v>
      </c>
      <c r="D38" s="89" t="n">
        <v>2800</v>
      </c>
      <c r="E38" s="89" t="n">
        <v>3500</v>
      </c>
      <c r="F38" s="89" t="n">
        <v>4200</v>
      </c>
      <c r="G38" s="89" t="n">
        <v>4550</v>
      </c>
      <c r="H38" s="89" t="n">
        <v>5250</v>
      </c>
      <c r="I38" s="89" t="n">
        <v>5600</v>
      </c>
      <c r="J38" s="89" t="n">
        <v>6300</v>
      </c>
      <c r="K38" s="89" t="n">
        <v>7000</v>
      </c>
      <c r="L38" s="89" t="n">
        <v>7700</v>
      </c>
      <c r="M38" s="89" t="n">
        <v>8400</v>
      </c>
      <c r="N38" s="90" t="n">
        <v>59500</v>
      </c>
    </row>
    <row r="39" customFormat="false" ht="16.5" hidden="false" customHeight="true" outlineLevel="0" collapsed="false">
      <c r="A39" s="86" t="s">
        <v>170</v>
      </c>
      <c r="B39" s="87" t="n">
        <v>5000</v>
      </c>
      <c r="C39" s="87" t="n">
        <v>5000</v>
      </c>
      <c r="D39" s="87" t="n">
        <v>3000</v>
      </c>
      <c r="E39" s="87" t="n">
        <v>3000</v>
      </c>
      <c r="F39" s="87" t="n">
        <v>3000</v>
      </c>
      <c r="G39" s="87" t="n">
        <v>3000</v>
      </c>
      <c r="H39" s="87" t="n">
        <v>2000</v>
      </c>
      <c r="I39" s="87" t="n">
        <v>2000</v>
      </c>
      <c r="J39" s="87" t="n">
        <v>2000</v>
      </c>
      <c r="K39" s="87" t="n">
        <v>2000</v>
      </c>
      <c r="L39" s="87" t="n">
        <v>2000</v>
      </c>
      <c r="M39" s="87" t="n">
        <v>2000</v>
      </c>
      <c r="N39" s="88" t="n">
        <v>34000</v>
      </c>
    </row>
    <row r="40" customFormat="false" ht="16.5" hidden="false" customHeight="true" outlineLevel="0" collapsed="false">
      <c r="A40" s="65" t="s">
        <v>171</v>
      </c>
      <c r="B40" s="89" t="n">
        <v>2000</v>
      </c>
      <c r="C40" s="89" t="n">
        <v>2000</v>
      </c>
      <c r="D40" s="89" t="n">
        <v>2000</v>
      </c>
      <c r="E40" s="89" t="n">
        <v>2000</v>
      </c>
      <c r="F40" s="89" t="n">
        <v>2000</v>
      </c>
      <c r="G40" s="89" t="n">
        <v>2000</v>
      </c>
      <c r="H40" s="89" t="n">
        <v>2000</v>
      </c>
      <c r="I40" s="89" t="n">
        <v>2000</v>
      </c>
      <c r="J40" s="89" t="n">
        <v>2000</v>
      </c>
      <c r="K40" s="89" t="n">
        <v>2000</v>
      </c>
      <c r="L40" s="89" t="n">
        <v>2000</v>
      </c>
      <c r="M40" s="89" t="n">
        <v>2000</v>
      </c>
      <c r="N40" s="90" t="n">
        <v>24000</v>
      </c>
    </row>
    <row r="41" customFormat="false" ht="16.5" hidden="false" customHeight="true" outlineLevel="0" collapsed="false">
      <c r="A41" s="86" t="s">
        <v>172</v>
      </c>
      <c r="B41" s="87" t="n">
        <v>5000</v>
      </c>
      <c r="C41" s="87" t="n">
        <v>5000</v>
      </c>
      <c r="D41" s="87" t="n">
        <v>5000</v>
      </c>
      <c r="E41" s="87" t="n">
        <v>5000</v>
      </c>
      <c r="F41" s="87" t="n">
        <v>5000</v>
      </c>
      <c r="G41" s="87" t="n">
        <v>5000</v>
      </c>
      <c r="H41" s="87" t="n">
        <v>5000</v>
      </c>
      <c r="I41" s="87" t="n">
        <v>5000</v>
      </c>
      <c r="J41" s="87" t="n">
        <v>5000</v>
      </c>
      <c r="K41" s="87" t="n">
        <v>5000</v>
      </c>
      <c r="L41" s="87" t="n">
        <v>5000</v>
      </c>
      <c r="M41" s="87" t="n">
        <v>5000</v>
      </c>
      <c r="N41" s="88" t="n">
        <v>60000</v>
      </c>
    </row>
    <row r="42" customFormat="false" ht="3" hidden="false" customHeight="true" outlineLevel="0" collapsed="false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</row>
    <row r="43" customFormat="false" ht="13.5" hidden="false" customHeight="true" outlineLevel="0" collapsed="false">
      <c r="A43" s="91" t="s">
        <v>173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</row>
    <row r="44" customFormat="false" ht="16.5" hidden="false" customHeight="true" outlineLevel="0" collapsed="false">
      <c r="A44" s="77" t="s">
        <v>174</v>
      </c>
      <c r="B44" s="89" t="n">
        <v>0</v>
      </c>
      <c r="C44" s="89" t="n">
        <v>0</v>
      </c>
      <c r="D44" s="89" t="n">
        <v>0</v>
      </c>
      <c r="E44" s="89" t="n">
        <v>25000</v>
      </c>
      <c r="F44" s="89" t="n">
        <v>25000</v>
      </c>
      <c r="G44" s="89" t="n">
        <v>25000</v>
      </c>
      <c r="H44" s="89" t="n">
        <v>25000</v>
      </c>
      <c r="I44" s="89" t="n">
        <v>25000</v>
      </c>
      <c r="J44" s="89" t="n">
        <v>25000</v>
      </c>
      <c r="K44" s="89" t="n">
        <v>25000</v>
      </c>
      <c r="L44" s="89" t="n">
        <v>25000</v>
      </c>
      <c r="M44" s="89" t="n">
        <v>25000</v>
      </c>
      <c r="N44" s="90" t="n">
        <v>225000</v>
      </c>
    </row>
    <row r="45" customFormat="false" ht="16.5" hidden="false" customHeight="true" outlineLevel="0" collapsed="false">
      <c r="A45" s="92" t="s">
        <v>175</v>
      </c>
      <c r="B45" s="87" t="n">
        <v>0</v>
      </c>
      <c r="C45" s="87" t="n">
        <v>0</v>
      </c>
      <c r="D45" s="87" t="n">
        <v>0</v>
      </c>
      <c r="E45" s="87" t="n">
        <v>0</v>
      </c>
      <c r="F45" s="87" t="n">
        <v>0</v>
      </c>
      <c r="G45" s="87" t="n">
        <v>0</v>
      </c>
      <c r="H45" s="87" t="n">
        <v>0</v>
      </c>
      <c r="I45" s="87" t="n">
        <v>30000</v>
      </c>
      <c r="J45" s="87" t="n">
        <v>30000</v>
      </c>
      <c r="K45" s="87" t="n">
        <v>30000</v>
      </c>
      <c r="L45" s="87" t="n">
        <v>30000</v>
      </c>
      <c r="M45" s="87" t="n">
        <v>30000</v>
      </c>
      <c r="N45" s="88" t="n">
        <v>150000</v>
      </c>
    </row>
    <row r="46" customFormat="false" ht="16.5" hidden="false" customHeight="true" outlineLevel="0" collapsed="false">
      <c r="A46" s="77" t="s">
        <v>176</v>
      </c>
      <c r="B46" s="66" t="n">
        <v>0</v>
      </c>
      <c r="C46" s="66" t="n">
        <v>0</v>
      </c>
      <c r="D46" s="66" t="n">
        <v>0</v>
      </c>
      <c r="E46" s="66" t="n">
        <v>7500</v>
      </c>
      <c r="F46" s="66" t="n">
        <v>7500</v>
      </c>
      <c r="G46" s="66" t="n">
        <v>7500</v>
      </c>
      <c r="H46" s="66" t="n">
        <v>7500</v>
      </c>
      <c r="I46" s="66" t="n">
        <v>16500</v>
      </c>
      <c r="J46" s="66" t="n">
        <v>16500</v>
      </c>
      <c r="K46" s="66" t="n">
        <v>16500</v>
      </c>
      <c r="L46" s="66" t="n">
        <v>16500</v>
      </c>
      <c r="M46" s="66" t="n">
        <v>16500</v>
      </c>
      <c r="N46" s="66" t="n">
        <v>112500</v>
      </c>
    </row>
    <row r="47" customFormat="false" ht="18.75" hidden="false" customHeight="true" outlineLevel="0" collapsed="false">
      <c r="A47" s="93" t="s">
        <v>177</v>
      </c>
      <c r="B47" s="94" t="n">
        <v>0</v>
      </c>
      <c r="C47" s="94" t="n">
        <v>0</v>
      </c>
      <c r="D47" s="94" t="n">
        <v>0</v>
      </c>
      <c r="E47" s="94" t="n">
        <v>32500</v>
      </c>
      <c r="F47" s="94" t="n">
        <v>32500</v>
      </c>
      <c r="G47" s="94" t="n">
        <v>32500</v>
      </c>
      <c r="H47" s="94" t="n">
        <v>32500</v>
      </c>
      <c r="I47" s="94" t="n">
        <v>71500</v>
      </c>
      <c r="J47" s="94" t="n">
        <v>71500</v>
      </c>
      <c r="K47" s="94" t="n">
        <v>71500</v>
      </c>
      <c r="L47" s="94" t="n">
        <v>71500</v>
      </c>
      <c r="M47" s="94" t="n">
        <v>71500</v>
      </c>
      <c r="N47" s="94" t="n">
        <v>487500</v>
      </c>
    </row>
    <row r="48" customFormat="false" ht="3" hidden="false" customHeight="true" outlineLevel="0" collapsed="false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</row>
    <row r="49" customFormat="false" ht="21.75" hidden="false" customHeight="true" outlineLevel="0" collapsed="false">
      <c r="A49" s="95" t="s">
        <v>178</v>
      </c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</row>
    <row r="50" customFormat="false" ht="3" hidden="false" customHeight="true" outlineLevel="0" collapsed="false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</row>
    <row r="51" customFormat="false" ht="18.75" hidden="false" customHeight="true" outlineLevel="0" collapsed="false">
      <c r="A51" s="96" t="s">
        <v>179</v>
      </c>
      <c r="B51" s="97" t="n">
        <v>13750</v>
      </c>
      <c r="C51" s="97" t="n">
        <v>14450</v>
      </c>
      <c r="D51" s="97" t="n">
        <v>12800</v>
      </c>
      <c r="E51" s="97" t="n">
        <v>46000</v>
      </c>
      <c r="F51" s="97" t="n">
        <v>46700</v>
      </c>
      <c r="G51" s="97" t="n">
        <v>47050</v>
      </c>
      <c r="H51" s="97" t="n">
        <v>46750</v>
      </c>
      <c r="I51" s="97" t="n">
        <v>86100</v>
      </c>
      <c r="J51" s="97" t="n">
        <v>86800</v>
      </c>
      <c r="K51" s="97" t="n">
        <v>87500</v>
      </c>
      <c r="L51" s="97" t="n">
        <v>88200</v>
      </c>
      <c r="M51" s="97" t="n">
        <v>88900</v>
      </c>
      <c r="N51" s="97" t="n">
        <v>665000</v>
      </c>
    </row>
    <row r="52" customFormat="false" ht="4.5" hidden="false" customHeight="true" outlineLevel="0" collapsed="false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</row>
    <row r="53" customFormat="false" ht="18.75" hidden="false" customHeight="true" outlineLevel="0" collapsed="false">
      <c r="A53" s="98" t="s">
        <v>180</v>
      </c>
      <c r="B53" s="99" t="n">
        <v>38139.5</v>
      </c>
      <c r="C53" s="99" t="n">
        <v>58195.3</v>
      </c>
      <c r="D53" s="99" t="n">
        <v>70223.2</v>
      </c>
      <c r="E53" s="99" t="n">
        <v>57779</v>
      </c>
      <c r="F53" s="99" t="n">
        <v>77834.8</v>
      </c>
      <c r="G53" s="99" t="n">
        <v>177112.64</v>
      </c>
      <c r="H53" s="99" t="n">
        <v>211899.2</v>
      </c>
      <c r="I53" s="99" t="n">
        <v>189792.48</v>
      </c>
      <c r="J53" s="99" t="n">
        <v>223579.04</v>
      </c>
      <c r="K53" s="99" t="n">
        <v>257365.6</v>
      </c>
      <c r="L53" s="99" t="n">
        <v>291152.16</v>
      </c>
      <c r="M53" s="99" t="n">
        <v>324938.72</v>
      </c>
      <c r="N53" s="99" t="n">
        <v>1978011.64</v>
      </c>
    </row>
    <row r="54" customFormat="false" ht="4.5" hidden="false" customHeight="true" outlineLevel="0" collapsed="false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</row>
    <row r="55" customFormat="false" ht="19.5" hidden="false" customHeight="true" outlineLevel="0" collapsed="false">
      <c r="A55" s="100" t="s">
        <v>181</v>
      </c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</row>
    <row r="56" customFormat="false" ht="16.5" hidden="false" customHeight="true" outlineLevel="0" collapsed="false">
      <c r="A56" s="101" t="s">
        <v>182</v>
      </c>
      <c r="B56" s="102" t="n">
        <v>5721</v>
      </c>
      <c r="C56" s="102" t="n">
        <v>8729</v>
      </c>
      <c r="D56" s="102" t="n">
        <v>10533</v>
      </c>
      <c r="E56" s="102" t="n">
        <v>8667</v>
      </c>
      <c r="F56" s="102" t="n">
        <v>11675</v>
      </c>
      <c r="G56" s="102" t="n">
        <v>26567</v>
      </c>
      <c r="H56" s="102" t="n">
        <v>31785</v>
      </c>
      <c r="I56" s="102" t="n">
        <v>28469</v>
      </c>
      <c r="J56" s="102" t="n">
        <v>33537</v>
      </c>
      <c r="K56" s="102" t="n">
        <v>38605</v>
      </c>
      <c r="L56" s="102" t="n">
        <v>43673</v>
      </c>
      <c r="M56" s="102" t="n">
        <v>48741</v>
      </c>
      <c r="N56" s="102" t="n">
        <v>296702</v>
      </c>
    </row>
    <row r="57" customFormat="false" ht="15.75" hidden="false" customHeight="true" outlineLevel="0" collapsed="false">
      <c r="A57" s="103" t="s">
        <v>183</v>
      </c>
      <c r="B57" s="104" t="n">
        <v>0</v>
      </c>
      <c r="C57" s="104" t="n">
        <v>0</v>
      </c>
      <c r="D57" s="104" t="n">
        <v>0</v>
      </c>
      <c r="E57" s="104" t="n">
        <v>0</v>
      </c>
      <c r="F57" s="104" t="n">
        <v>0</v>
      </c>
      <c r="G57" s="104" t="n">
        <v>0</v>
      </c>
      <c r="H57" s="104" t="n">
        <v>0</v>
      </c>
      <c r="I57" s="104" t="n">
        <v>0</v>
      </c>
      <c r="J57" s="104" t="n">
        <v>0</v>
      </c>
      <c r="K57" s="104" t="n">
        <v>0</v>
      </c>
      <c r="L57" s="104" t="n">
        <v>0</v>
      </c>
      <c r="M57" s="104" t="n">
        <v>0</v>
      </c>
      <c r="N57" s="104" t="n">
        <v>0</v>
      </c>
    </row>
    <row r="58" customFormat="false" ht="18.75" hidden="false" customHeight="true" outlineLevel="0" collapsed="false">
      <c r="A58" s="105" t="s">
        <v>184</v>
      </c>
      <c r="B58" s="106" t="n">
        <v>5721</v>
      </c>
      <c r="C58" s="106" t="n">
        <v>8729</v>
      </c>
      <c r="D58" s="106" t="n">
        <v>10533</v>
      </c>
      <c r="E58" s="106" t="n">
        <v>8667</v>
      </c>
      <c r="F58" s="106" t="n">
        <v>11675</v>
      </c>
      <c r="G58" s="106" t="n">
        <v>26567</v>
      </c>
      <c r="H58" s="106" t="n">
        <v>31785</v>
      </c>
      <c r="I58" s="106" t="n">
        <v>28469</v>
      </c>
      <c r="J58" s="106" t="n">
        <v>33537</v>
      </c>
      <c r="K58" s="106" t="n">
        <v>38605</v>
      </c>
      <c r="L58" s="106" t="n">
        <v>43673</v>
      </c>
      <c r="M58" s="106" t="n">
        <v>48741</v>
      </c>
      <c r="N58" s="106" t="n">
        <v>296702</v>
      </c>
    </row>
    <row r="59" customFormat="false" ht="4.5" hidden="false" customHeight="true" outlineLevel="0" collapsed="false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</row>
    <row r="60" customFormat="false" ht="24" hidden="false" customHeight="true" outlineLevel="0" collapsed="false">
      <c r="A60" s="107" t="s">
        <v>185</v>
      </c>
      <c r="B60" s="108" t="n">
        <v>32418.5</v>
      </c>
      <c r="C60" s="108" t="n">
        <v>49466.3</v>
      </c>
      <c r="D60" s="108" t="n">
        <v>59690.2</v>
      </c>
      <c r="E60" s="108" t="n">
        <v>49112</v>
      </c>
      <c r="F60" s="108" t="n">
        <v>66159.8</v>
      </c>
      <c r="G60" s="108" t="n">
        <v>150545.64</v>
      </c>
      <c r="H60" s="108" t="n">
        <v>180114.2</v>
      </c>
      <c r="I60" s="108" t="n">
        <v>161323.48</v>
      </c>
      <c r="J60" s="108" t="n">
        <v>190042.04</v>
      </c>
      <c r="K60" s="108" t="n">
        <v>218760.6</v>
      </c>
      <c r="L60" s="108" t="n">
        <v>247479.16</v>
      </c>
      <c r="M60" s="108" t="n">
        <v>276197.72</v>
      </c>
      <c r="N60" s="108" t="n">
        <v>1681309.64</v>
      </c>
    </row>
    <row r="61" customFormat="false" ht="15" hidden="false" customHeight="true" outlineLevel="0" collapsed="false">
      <c r="A61" s="109" t="s">
        <v>186</v>
      </c>
      <c r="B61" s="110" t="n">
        <v>0.369442</v>
      </c>
      <c r="C61" s="110" t="n">
        <v>0.402656</v>
      </c>
      <c r="D61" s="110" t="n">
        <v>0.425144</v>
      </c>
      <c r="E61" s="110" t="n">
        <v>0.27984</v>
      </c>
      <c r="F61" s="110" t="n">
        <v>0.314149</v>
      </c>
      <c r="G61" s="110" t="n">
        <v>0.397134</v>
      </c>
      <c r="H61" s="110" t="n">
        <v>0.411784</v>
      </c>
      <c r="I61" s="110" t="n">
        <v>0.345772</v>
      </c>
      <c r="J61" s="110" t="n">
        <v>0.362068</v>
      </c>
      <c r="K61" s="110" t="n">
        <v>0.375104</v>
      </c>
      <c r="L61" s="110" t="n">
        <v>0.38577</v>
      </c>
      <c r="M61" s="110" t="n">
        <v>0.394658</v>
      </c>
      <c r="N61" s="110" t="n">
        <v>0.376167</v>
      </c>
    </row>
    <row r="62" customFormat="false" ht="4.5" hidden="false" customHeight="true" outlineLevel="0" collapsed="false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</row>
    <row r="63" customFormat="false" ht="16.5" hidden="false" customHeight="true" outlineLevel="0" collapsed="false">
      <c r="A63" s="111" t="s">
        <v>187</v>
      </c>
      <c r="B63" s="112" t="n">
        <v>32418</v>
      </c>
      <c r="C63" s="112" t="n">
        <v>81885</v>
      </c>
      <c r="D63" s="112" t="n">
        <v>141575</v>
      </c>
      <c r="E63" s="112" t="n">
        <v>190687</v>
      </c>
      <c r="F63" s="112" t="n">
        <v>256847</v>
      </c>
      <c r="G63" s="112" t="n">
        <v>407392</v>
      </c>
      <c r="H63" s="112" t="n">
        <v>587507</v>
      </c>
      <c r="I63" s="112" t="n">
        <v>748830</v>
      </c>
      <c r="J63" s="112" t="n">
        <v>938872</v>
      </c>
      <c r="K63" s="112" t="n">
        <v>1157633</v>
      </c>
      <c r="L63" s="112" t="n">
        <v>1405112</v>
      </c>
      <c r="M63" s="112" t="n">
        <v>1681310</v>
      </c>
      <c r="N63" s="112" t="n">
        <v>1681310</v>
      </c>
    </row>
    <row r="64" customFormat="false" ht="4.5" hidden="false" customHeight="true" outlineLevel="0" collapsed="false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</row>
    <row r="65" customFormat="false" ht="19.5" hidden="false" customHeight="true" outlineLevel="0" collapsed="false">
      <c r="A65" s="113" t="s">
        <v>188</v>
      </c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</row>
    <row r="66" customFormat="false" ht="13.5" hidden="false" customHeight="true" outlineLevel="0" collapsed="false">
      <c r="A66" s="114" t="s">
        <v>189</v>
      </c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</row>
    <row r="67" customFormat="false" ht="16.5" hidden="false" customHeight="true" outlineLevel="0" collapsed="false">
      <c r="A67" s="115" t="s">
        <v>190</v>
      </c>
      <c r="B67" s="116" t="n">
        <v>19743</v>
      </c>
      <c r="C67" s="116" t="n">
        <v>30125</v>
      </c>
      <c r="D67" s="116" t="n">
        <v>36351</v>
      </c>
      <c r="E67" s="116" t="n">
        <v>29909</v>
      </c>
      <c r="F67" s="116" t="n">
        <v>40291</v>
      </c>
      <c r="G67" s="116" t="n">
        <v>91682</v>
      </c>
      <c r="H67" s="116" t="n">
        <v>109690</v>
      </c>
      <c r="I67" s="116" t="n">
        <v>98246</v>
      </c>
      <c r="J67" s="116" t="n">
        <v>115736</v>
      </c>
      <c r="K67" s="116" t="n">
        <v>133225</v>
      </c>
      <c r="L67" s="116" t="n">
        <v>150715</v>
      </c>
      <c r="M67" s="116" t="n">
        <v>168204</v>
      </c>
      <c r="N67" s="116" t="n">
        <v>1023918</v>
      </c>
    </row>
    <row r="68" customFormat="false" ht="16.5" hidden="false" customHeight="true" outlineLevel="0" collapsed="false">
      <c r="A68" s="65" t="s">
        <v>191</v>
      </c>
      <c r="B68" s="66" t="n">
        <v>8461</v>
      </c>
      <c r="C68" s="66" t="n">
        <v>12911</v>
      </c>
      <c r="D68" s="66" t="n">
        <v>15579</v>
      </c>
      <c r="E68" s="66" t="n">
        <v>12818</v>
      </c>
      <c r="F68" s="66" t="n">
        <v>17268</v>
      </c>
      <c r="G68" s="66" t="n">
        <v>39292</v>
      </c>
      <c r="H68" s="66" t="n">
        <v>47010</v>
      </c>
      <c r="I68" s="66" t="n">
        <v>42105</v>
      </c>
      <c r="J68" s="66" t="n">
        <v>49601</v>
      </c>
      <c r="K68" s="66" t="n">
        <v>57097</v>
      </c>
      <c r="L68" s="66" t="n">
        <v>64592</v>
      </c>
      <c r="M68" s="66" t="n">
        <v>72088</v>
      </c>
      <c r="N68" s="66" t="n">
        <v>438822</v>
      </c>
    </row>
    <row r="69" customFormat="false" ht="4.5" hidden="false" customHeight="true" outlineLevel="0" collapsed="false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</row>
    <row r="70" customFormat="false" ht="12.75" hidden="false" customHeight="true" outlineLevel="0" collapsed="false">
      <c r="A70" s="117" t="s">
        <v>192</v>
      </c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</row>
    <row r="71" customFormat="false" ht="12.75" hidden="false" customHeight="true" outlineLevel="0" collapsed="false">
      <c r="A71" s="117" t="s">
        <v>193</v>
      </c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</row>
    <row r="72" customFormat="false" ht="12.75" hidden="false" customHeight="true" outlineLevel="0" collapsed="false">
      <c r="A72" s="117" t="s">
        <v>194</v>
      </c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</row>
    <row r="73" customFormat="false" ht="12.75" hidden="false" customHeight="true" outlineLevel="0" collapsed="false">
      <c r="A73" s="117" t="s">
        <v>195</v>
      </c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</row>
  </sheetData>
  <mergeCells count="17">
    <mergeCell ref="A1:N1"/>
    <mergeCell ref="A2:N2"/>
    <mergeCell ref="A3:N3"/>
    <mergeCell ref="A4:N4"/>
    <mergeCell ref="A13:N13"/>
    <mergeCell ref="A19:N19"/>
    <mergeCell ref="B20:N20"/>
    <mergeCell ref="A36:N36"/>
    <mergeCell ref="B43:N43"/>
    <mergeCell ref="A49:N49"/>
    <mergeCell ref="A55:N55"/>
    <mergeCell ref="A65:N65"/>
    <mergeCell ref="A66:N66"/>
    <mergeCell ref="A70:N70"/>
    <mergeCell ref="A71:N71"/>
    <mergeCell ref="A72:N72"/>
    <mergeCell ref="A73:N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47A1"/>
    <pageSetUpPr fitToPage="false"/>
  </sheetPr>
  <dimension ref="A1:O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14" min="3" style="1" width="10.2"/>
    <col collapsed="false" customWidth="true" hidden="false" outlineLevel="0" max="15" min="15" style="1" width="13"/>
  </cols>
  <sheetData>
    <row r="1" customFormat="false" ht="37.5" hidden="false" customHeight="true" outlineLevel="0" collapsed="false">
      <c r="A1" s="49" t="s">
        <v>196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customFormat="false" ht="30" hidden="false" customHeight="true" outlineLevel="0" collapsed="false">
      <c r="A2" s="118" t="s">
        <v>197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</row>
    <row r="3" customFormat="false" ht="13.5" hidden="false" customHeight="true" outlineLevel="0" collapsed="false">
      <c r="A3" s="40" t="s">
        <v>198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customFormat="false" ht="19.5" hidden="false" customHeight="true" outlineLevel="0" collapsed="false">
      <c r="A4" s="119" t="s">
        <v>199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</row>
    <row r="5" customFormat="false" ht="21.75" hidden="false" customHeight="true" outlineLevel="0" collapsed="false">
      <c r="A5" s="52" t="s">
        <v>2</v>
      </c>
      <c r="B5" s="52" t="s">
        <v>200</v>
      </c>
      <c r="C5" s="52" t="s">
        <v>201</v>
      </c>
      <c r="D5" s="52" t="s">
        <v>202</v>
      </c>
      <c r="E5" s="52" t="s">
        <v>203</v>
      </c>
      <c r="F5" s="52" t="s">
        <v>204</v>
      </c>
      <c r="G5" s="52" t="s">
        <v>205</v>
      </c>
      <c r="H5" s="52" t="s">
        <v>206</v>
      </c>
      <c r="I5" s="52" t="s">
        <v>207</v>
      </c>
      <c r="J5" s="52" t="s">
        <v>208</v>
      </c>
      <c r="K5" s="52" t="s">
        <v>209</v>
      </c>
      <c r="L5" s="52" t="s">
        <v>210</v>
      </c>
      <c r="M5" s="52" t="s">
        <v>211</v>
      </c>
      <c r="N5" s="52" t="s">
        <v>212</v>
      </c>
      <c r="O5" s="52" t="s">
        <v>213</v>
      </c>
    </row>
    <row r="6" customFormat="false" ht="16.5" hidden="false" customHeight="true" outlineLevel="0" collapsed="false">
      <c r="A6" s="120" t="s">
        <v>214</v>
      </c>
      <c r="B6" s="121" t="n">
        <v>350000</v>
      </c>
      <c r="C6" s="121" t="n">
        <v>0</v>
      </c>
      <c r="D6" s="121" t="n">
        <v>0</v>
      </c>
      <c r="E6" s="121" t="n">
        <v>0</v>
      </c>
      <c r="F6" s="121" t="n">
        <v>0</v>
      </c>
      <c r="G6" s="121" t="n">
        <v>0</v>
      </c>
      <c r="H6" s="121" t="n">
        <v>0</v>
      </c>
      <c r="I6" s="121" t="n">
        <v>0</v>
      </c>
      <c r="J6" s="121" t="n">
        <v>0</v>
      </c>
      <c r="K6" s="121" t="n">
        <v>0</v>
      </c>
      <c r="L6" s="121" t="n">
        <v>0</v>
      </c>
      <c r="M6" s="121" t="n">
        <v>0</v>
      </c>
      <c r="N6" s="121" t="n">
        <v>0</v>
      </c>
      <c r="O6" s="121" t="n">
        <v>0</v>
      </c>
    </row>
    <row r="7" customFormat="false" ht="15" hidden="false" customHeight="true" outlineLevel="0" collapsed="false">
      <c r="A7" s="122" t="s">
        <v>215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</row>
    <row r="8" customFormat="false" ht="13.5" hidden="false" customHeight="true" outlineLevel="0" collapsed="false">
      <c r="A8" s="122" t="s">
        <v>216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</row>
    <row r="9" customFormat="false" ht="13.5" hidden="false" customHeight="true" outlineLevel="0" collapsed="false">
      <c r="A9" s="122" t="s">
        <v>217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</row>
    <row r="10" customFormat="false" ht="4.5" hidden="false" customHeight="true" outlineLevel="0" collapsed="false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</row>
    <row r="11" customFormat="false" ht="19.5" hidden="false" customHeight="true" outlineLevel="0" collapsed="false">
      <c r="A11" s="123" t="s">
        <v>218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</row>
    <row r="12" customFormat="false" ht="16.5" hidden="false" customHeight="true" outlineLevel="0" collapsed="false">
      <c r="A12" s="120" t="s">
        <v>219</v>
      </c>
      <c r="B12" s="121" t="n">
        <v>350000</v>
      </c>
      <c r="C12" s="121" t="n">
        <v>0</v>
      </c>
      <c r="D12" s="121" t="n">
        <v>0</v>
      </c>
      <c r="E12" s="121" t="n">
        <v>0</v>
      </c>
      <c r="F12" s="121" t="n">
        <v>0</v>
      </c>
      <c r="G12" s="121" t="n">
        <v>0</v>
      </c>
      <c r="H12" s="121" t="n">
        <v>0</v>
      </c>
      <c r="I12" s="121" t="n">
        <v>0</v>
      </c>
      <c r="J12" s="121" t="n">
        <v>0</v>
      </c>
      <c r="K12" s="121" t="n">
        <v>0</v>
      </c>
      <c r="L12" s="121" t="n">
        <v>0</v>
      </c>
      <c r="M12" s="121" t="n">
        <v>0</v>
      </c>
      <c r="N12" s="121" t="n">
        <v>0</v>
      </c>
      <c r="O12" s="121" t="n">
        <f aca="false">SUM(B11:N11)</f>
        <v>0</v>
      </c>
    </row>
    <row r="13" customFormat="false" ht="16.5" hidden="false" customHeight="true" outlineLevel="0" collapsed="false">
      <c r="A13" s="124" t="s">
        <v>220</v>
      </c>
      <c r="B13" s="125" t="n">
        <v>0</v>
      </c>
      <c r="C13" s="126" t="n">
        <f aca="false">ROUND('P&amp;L Детальный'!B17*0.5, 0)</f>
        <v>43875</v>
      </c>
      <c r="D13" s="126" t="n">
        <f aca="false">ROUND('P&amp;L Детальный'!C17*0.5+'P&amp;L Детальный'!B17*0.5, 0)</f>
        <v>105300</v>
      </c>
      <c r="E13" s="126" t="n">
        <f aca="false">ROUND('P&amp;L Детальный'!D17*0.5+'P&amp;L Детальный'!C17*0.5, 0)</f>
        <v>131625</v>
      </c>
      <c r="F13" s="126" t="n">
        <f aca="false">ROUND('P&amp;L Детальный'!E17*0.5+'P&amp;L Детальный'!D17*0.5, 0)</f>
        <v>157950</v>
      </c>
      <c r="G13" s="126" t="n">
        <f aca="false">ROUND('P&amp;L Детальный'!F17*0.5+'P&amp;L Детальный'!E17*0.5, 0)</f>
        <v>193050</v>
      </c>
      <c r="H13" s="126" t="n">
        <f aca="false">ROUND('P&amp;L Детальный'!G17*0.5+'P&amp;L Детальный'!F17*0.5, 0)</f>
        <v>294840</v>
      </c>
      <c r="I13" s="126" t="n">
        <f aca="false">ROUND('P&amp;L Детальный'!H17*0.5+'P&amp;L Детальный'!G17*0.5, 0)</f>
        <v>408240</v>
      </c>
      <c r="J13" s="126" t="n">
        <f aca="false">ROUND('P&amp;L Детальный'!I17*0.5+'P&amp;L Детальный'!H17*0.5, 0)</f>
        <v>451980</v>
      </c>
      <c r="K13" s="126" t="n">
        <f aca="false">ROUND('P&amp;L Детальный'!J17*0.5+'P&amp;L Детальный'!I17*0.5, 0)</f>
        <v>495720</v>
      </c>
      <c r="L13" s="126" t="n">
        <f aca="false">ROUND('P&amp;L Детальный'!K17*0.5+'P&amp;L Детальный'!J17*0.5, 0)</f>
        <v>554040</v>
      </c>
      <c r="M13" s="126" t="n">
        <f aca="false">ROUND('P&amp;L Детальный'!L17*0.5+'P&amp;L Детальный'!K17*0.5, 0)</f>
        <v>612360</v>
      </c>
      <c r="N13" s="126" t="n">
        <f aca="false">ROUND('P&amp;L Детальный'!M17*0.5+'P&amp;L Детальный'!L17*0.5, 0)</f>
        <v>670680</v>
      </c>
      <c r="O13" s="127" t="n">
        <f aca="false">SUM(C13:N13)</f>
        <v>4119660</v>
      </c>
    </row>
    <row r="14" customFormat="false" ht="12.75" hidden="false" customHeight="true" outlineLevel="0" collapsed="false">
      <c r="A14" s="128" t="s">
        <v>221</v>
      </c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</row>
    <row r="15" customFormat="false" ht="18.75" hidden="false" customHeight="true" outlineLevel="0" collapsed="false">
      <c r="A15" s="129" t="s">
        <v>222</v>
      </c>
      <c r="B15" s="130" t="n">
        <f aca="false">B12+B13</f>
        <v>350000</v>
      </c>
      <c r="C15" s="130" t="n">
        <f aca="false">C12+C13</f>
        <v>43875</v>
      </c>
      <c r="D15" s="130" t="n">
        <f aca="false">D12+D13</f>
        <v>105300</v>
      </c>
      <c r="E15" s="130" t="n">
        <f aca="false">E12+E13</f>
        <v>131625</v>
      </c>
      <c r="F15" s="130" t="n">
        <f aca="false">F12+F13</f>
        <v>157950</v>
      </c>
      <c r="G15" s="130" t="n">
        <f aca="false">G12+G13</f>
        <v>193050</v>
      </c>
      <c r="H15" s="130" t="n">
        <f aca="false">H12+H13</f>
        <v>294840</v>
      </c>
      <c r="I15" s="130" t="n">
        <f aca="false">I12+I13</f>
        <v>408240</v>
      </c>
      <c r="J15" s="130" t="n">
        <f aca="false">J12+J13</f>
        <v>451980</v>
      </c>
      <c r="K15" s="130" t="n">
        <f aca="false">K12+K13</f>
        <v>495720</v>
      </c>
      <c r="L15" s="130" t="n">
        <f aca="false">L12+L13</f>
        <v>554040</v>
      </c>
      <c r="M15" s="130" t="n">
        <f aca="false">M12+M13</f>
        <v>612360</v>
      </c>
      <c r="N15" s="130" t="n">
        <f aca="false">N12+N13</f>
        <v>670680</v>
      </c>
      <c r="O15" s="130" t="n">
        <f aca="false">SUM(B15:N15)</f>
        <v>4469660</v>
      </c>
    </row>
    <row r="16" customFormat="false" ht="4.5" hidden="false" customHeight="true" outlineLevel="0" collapsed="false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</row>
    <row r="17" customFormat="false" ht="19.5" hidden="false" customHeight="true" outlineLevel="0" collapsed="false">
      <c r="A17" s="131" t="s">
        <v>223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</row>
    <row r="18" customFormat="false" ht="16.5" hidden="false" customHeight="true" outlineLevel="0" collapsed="false">
      <c r="A18" s="120" t="s">
        <v>224</v>
      </c>
      <c r="B18" s="121" t="n">
        <v>170000</v>
      </c>
      <c r="C18" s="121" t="n">
        <v>0</v>
      </c>
      <c r="D18" s="121" t="n">
        <v>0</v>
      </c>
      <c r="E18" s="121" t="n">
        <v>0</v>
      </c>
      <c r="F18" s="121" t="n">
        <v>0</v>
      </c>
      <c r="G18" s="121" t="n">
        <v>0</v>
      </c>
      <c r="H18" s="121" t="n">
        <v>0</v>
      </c>
      <c r="I18" s="121" t="n">
        <v>0</v>
      </c>
      <c r="J18" s="121" t="n">
        <v>0</v>
      </c>
      <c r="K18" s="121" t="n">
        <v>0</v>
      </c>
      <c r="L18" s="121" t="n">
        <v>0</v>
      </c>
      <c r="M18" s="121" t="n">
        <v>0</v>
      </c>
      <c r="N18" s="121" t="n">
        <v>0</v>
      </c>
      <c r="O18" s="121" t="n">
        <v>170000</v>
      </c>
    </row>
    <row r="19" customFormat="false" ht="3" hidden="false" customHeight="true" outlineLevel="0" collapsed="false">
      <c r="A19" s="132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</row>
    <row r="20" customFormat="false" ht="13.5" hidden="false" customHeight="true" outlineLevel="0" collapsed="false">
      <c r="A20" s="71" t="s">
        <v>225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</row>
    <row r="21" customFormat="false" ht="16.5" hidden="false" customHeight="true" outlineLevel="0" collapsed="false">
      <c r="A21" s="133" t="s">
        <v>226</v>
      </c>
      <c r="B21" s="134" t="n">
        <v>0</v>
      </c>
      <c r="C21" s="134" t="n">
        <f aca="false">'P&amp;L Детальный'!B31</f>
        <v>35860.5</v>
      </c>
      <c r="D21" s="134" t="n">
        <f aca="false">'P&amp;L Детальный'!C31</f>
        <v>50204.7</v>
      </c>
      <c r="E21" s="134" t="n">
        <f aca="false">'P&amp;L Детальный'!D31</f>
        <v>57376.8</v>
      </c>
      <c r="F21" s="134" t="n">
        <f aca="false">'P&amp;L Детальный'!E31</f>
        <v>71721</v>
      </c>
      <c r="G21" s="134" t="n">
        <f aca="false">'P&amp;L Детальный'!F31</f>
        <v>86065.2</v>
      </c>
      <c r="H21" s="134" t="n">
        <f aca="false">'P&amp;L Детальный'!G31</f>
        <v>154917.36</v>
      </c>
      <c r="I21" s="134" t="n">
        <f aca="false">'P&amp;L Детальный'!H31</f>
        <v>178750.8</v>
      </c>
      <c r="J21" s="134" t="n">
        <f aca="false">'P&amp;L Детальный'!I31</f>
        <v>190667.52</v>
      </c>
      <c r="K21" s="134" t="n">
        <f aca="false">'P&amp;L Детальный'!J31</f>
        <v>214500.96</v>
      </c>
      <c r="L21" s="134" t="n">
        <f aca="false">'P&amp;L Детальный'!K31</f>
        <v>238334.4</v>
      </c>
      <c r="M21" s="134" t="n">
        <f aca="false">'P&amp;L Детальный'!L31</f>
        <v>262167.84</v>
      </c>
      <c r="N21" s="134" t="n">
        <f aca="false">'P&amp;L Детальный'!M31</f>
        <v>286001.28</v>
      </c>
      <c r="O21" s="116" t="n">
        <f aca="false">SUM(C21:N21)</f>
        <v>1826568.36</v>
      </c>
    </row>
    <row r="22" customFormat="false" ht="3" hidden="false" customHeight="true" outlineLevel="0" collapsed="false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</row>
    <row r="23" customFormat="false" ht="13.5" hidden="false" customHeight="true" outlineLevel="0" collapsed="false">
      <c r="A23" s="71" t="s">
        <v>227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</row>
    <row r="24" customFormat="false" ht="16.5" hidden="false" customHeight="true" outlineLevel="0" collapsed="false">
      <c r="A24" s="133" t="s">
        <v>115</v>
      </c>
      <c r="B24" s="134" t="n">
        <v>0</v>
      </c>
      <c r="C24" s="134" t="n">
        <f aca="false">'P&amp;L Детальный'!B38</f>
        <v>1750</v>
      </c>
      <c r="D24" s="134" t="n">
        <f aca="false">'P&amp;L Детальный'!C38</f>
        <v>2450</v>
      </c>
      <c r="E24" s="134" t="n">
        <f aca="false">'P&amp;L Детальный'!D38</f>
        <v>2800</v>
      </c>
      <c r="F24" s="134" t="n">
        <f aca="false">'P&amp;L Детальный'!E38</f>
        <v>3500</v>
      </c>
      <c r="G24" s="134" t="n">
        <f aca="false">'P&amp;L Детальный'!F38</f>
        <v>4200</v>
      </c>
      <c r="H24" s="134" t="n">
        <f aca="false">'P&amp;L Детальный'!G38</f>
        <v>4550</v>
      </c>
      <c r="I24" s="134" t="n">
        <f aca="false">'P&amp;L Детальный'!H38</f>
        <v>5250</v>
      </c>
      <c r="J24" s="134" t="n">
        <f aca="false">'P&amp;L Детальный'!I38</f>
        <v>5600</v>
      </c>
      <c r="K24" s="134" t="n">
        <f aca="false">'P&amp;L Детальный'!J38</f>
        <v>6300</v>
      </c>
      <c r="L24" s="134" t="n">
        <f aca="false">'P&amp;L Детальный'!K38</f>
        <v>7000</v>
      </c>
      <c r="M24" s="134" t="n">
        <f aca="false">'P&amp;L Детальный'!L38</f>
        <v>7700</v>
      </c>
      <c r="N24" s="134" t="n">
        <f aca="false">'P&amp;L Детальный'!M38</f>
        <v>8400</v>
      </c>
      <c r="O24" s="134" t="n">
        <f aca="false">SUM(C24:N24)</f>
        <v>59500</v>
      </c>
    </row>
    <row r="25" customFormat="false" ht="16.5" hidden="false" customHeight="true" outlineLevel="0" collapsed="false">
      <c r="A25" s="77" t="s">
        <v>228</v>
      </c>
      <c r="B25" s="135" t="n">
        <v>0</v>
      </c>
      <c r="C25" s="135" t="n">
        <f aca="false">'P&amp;L Детальный'!B39</f>
        <v>5000</v>
      </c>
      <c r="D25" s="135" t="n">
        <f aca="false">'P&amp;L Детальный'!C39</f>
        <v>5000</v>
      </c>
      <c r="E25" s="135" t="n">
        <f aca="false">'P&amp;L Детальный'!D39</f>
        <v>3000</v>
      </c>
      <c r="F25" s="135" t="n">
        <f aca="false">'P&amp;L Детальный'!E39</f>
        <v>3000</v>
      </c>
      <c r="G25" s="135" t="n">
        <f aca="false">'P&amp;L Детальный'!F39</f>
        <v>3000</v>
      </c>
      <c r="H25" s="135" t="n">
        <f aca="false">'P&amp;L Детальный'!G39</f>
        <v>3000</v>
      </c>
      <c r="I25" s="135" t="n">
        <f aca="false">'P&amp;L Детальный'!H39</f>
        <v>2000</v>
      </c>
      <c r="J25" s="135" t="n">
        <f aca="false">'P&amp;L Детальный'!I39</f>
        <v>2000</v>
      </c>
      <c r="K25" s="135" t="n">
        <f aca="false">'P&amp;L Детальный'!J39</f>
        <v>2000</v>
      </c>
      <c r="L25" s="135" t="n">
        <f aca="false">'P&amp;L Детальный'!K39</f>
        <v>2000</v>
      </c>
      <c r="M25" s="135" t="n">
        <f aca="false">'P&amp;L Детальный'!L39</f>
        <v>2000</v>
      </c>
      <c r="N25" s="135" t="n">
        <f aca="false">'P&amp;L Детальный'!M39</f>
        <v>2000</v>
      </c>
      <c r="O25" s="135" t="n">
        <f aca="false">SUM(C25:N25)</f>
        <v>34000</v>
      </c>
    </row>
    <row r="26" customFormat="false" ht="16.5" hidden="false" customHeight="true" outlineLevel="0" collapsed="false">
      <c r="A26" s="133" t="s">
        <v>171</v>
      </c>
      <c r="B26" s="134" t="n">
        <v>0</v>
      </c>
      <c r="C26" s="134" t="n">
        <f aca="false">'P&amp;L Детальный'!B40</f>
        <v>2000</v>
      </c>
      <c r="D26" s="134" t="n">
        <f aca="false">'P&amp;L Детальный'!C40</f>
        <v>2000</v>
      </c>
      <c r="E26" s="134" t="n">
        <f aca="false">'P&amp;L Детальный'!D40</f>
        <v>2000</v>
      </c>
      <c r="F26" s="134" t="n">
        <f aca="false">'P&amp;L Детальный'!E40</f>
        <v>2000</v>
      </c>
      <c r="G26" s="134" t="n">
        <f aca="false">'P&amp;L Детальный'!F40</f>
        <v>2000</v>
      </c>
      <c r="H26" s="134" t="n">
        <f aca="false">'P&amp;L Детальный'!G40</f>
        <v>2000</v>
      </c>
      <c r="I26" s="134" t="n">
        <f aca="false">'P&amp;L Детальный'!H40</f>
        <v>2000</v>
      </c>
      <c r="J26" s="134" t="n">
        <f aca="false">'P&amp;L Детальный'!I40</f>
        <v>2000</v>
      </c>
      <c r="K26" s="134" t="n">
        <f aca="false">'P&amp;L Детальный'!J40</f>
        <v>2000</v>
      </c>
      <c r="L26" s="134" t="n">
        <f aca="false">'P&amp;L Детальный'!K40</f>
        <v>2000</v>
      </c>
      <c r="M26" s="134" t="n">
        <f aca="false">'P&amp;L Детальный'!L40</f>
        <v>2000</v>
      </c>
      <c r="N26" s="134" t="n">
        <f aca="false">'P&amp;L Детальный'!M40</f>
        <v>2000</v>
      </c>
      <c r="O26" s="134" t="n">
        <f aca="false">SUM(C26:N26)</f>
        <v>24000</v>
      </c>
    </row>
    <row r="27" customFormat="false" ht="16.5" hidden="false" customHeight="true" outlineLevel="0" collapsed="false">
      <c r="A27" s="77" t="s">
        <v>172</v>
      </c>
      <c r="B27" s="135" t="n">
        <v>0</v>
      </c>
      <c r="C27" s="135" t="n">
        <f aca="false">'P&amp;L Детальный'!B41</f>
        <v>5000</v>
      </c>
      <c r="D27" s="135" t="n">
        <f aca="false">'P&amp;L Детальный'!C41</f>
        <v>5000</v>
      </c>
      <c r="E27" s="135" t="n">
        <f aca="false">'P&amp;L Детальный'!D41</f>
        <v>5000</v>
      </c>
      <c r="F27" s="135" t="n">
        <f aca="false">'P&amp;L Детальный'!E41</f>
        <v>5000</v>
      </c>
      <c r="G27" s="135" t="n">
        <f aca="false">'P&amp;L Детальный'!F41</f>
        <v>5000</v>
      </c>
      <c r="H27" s="135" t="n">
        <f aca="false">'P&amp;L Детальный'!G41</f>
        <v>5000</v>
      </c>
      <c r="I27" s="135" t="n">
        <f aca="false">'P&amp;L Детальный'!H41</f>
        <v>5000</v>
      </c>
      <c r="J27" s="135" t="n">
        <f aca="false">'P&amp;L Детальный'!I41</f>
        <v>5000</v>
      </c>
      <c r="K27" s="135" t="n">
        <f aca="false">'P&amp;L Детальный'!J41</f>
        <v>5000</v>
      </c>
      <c r="L27" s="135" t="n">
        <f aca="false">'P&amp;L Детальный'!K41</f>
        <v>5000</v>
      </c>
      <c r="M27" s="135" t="n">
        <f aca="false">'P&amp;L Детальный'!L41</f>
        <v>5000</v>
      </c>
      <c r="N27" s="135" t="n">
        <f aca="false">'P&amp;L Детальный'!M41</f>
        <v>5000</v>
      </c>
      <c r="O27" s="135" t="n">
        <f aca="false">SUM(C27:N27)</f>
        <v>60000</v>
      </c>
    </row>
    <row r="28" customFormat="false" ht="16.5" hidden="false" customHeight="true" outlineLevel="0" collapsed="false">
      <c r="A28" s="133" t="s">
        <v>229</v>
      </c>
      <c r="B28" s="134" t="n">
        <v>0</v>
      </c>
      <c r="C28" s="134" t="n">
        <f aca="false">'P&amp;L Детальный'!B44</f>
        <v>0</v>
      </c>
      <c r="D28" s="134" t="n">
        <f aca="false">'P&amp;L Детальный'!C44</f>
        <v>0</v>
      </c>
      <c r="E28" s="134" t="n">
        <f aca="false">'P&amp;L Детальный'!D44</f>
        <v>0</v>
      </c>
      <c r="F28" s="134" t="n">
        <f aca="false">'P&amp;L Детальный'!E44</f>
        <v>25000</v>
      </c>
      <c r="G28" s="134" t="n">
        <f aca="false">'P&amp;L Детальный'!F44</f>
        <v>25000</v>
      </c>
      <c r="H28" s="134" t="n">
        <f aca="false">'P&amp;L Детальный'!G44</f>
        <v>25000</v>
      </c>
      <c r="I28" s="134" t="n">
        <f aca="false">'P&amp;L Детальный'!H44</f>
        <v>25000</v>
      </c>
      <c r="J28" s="134" t="n">
        <f aca="false">'P&amp;L Детальный'!I44</f>
        <v>25000</v>
      </c>
      <c r="K28" s="134" t="n">
        <f aca="false">'P&amp;L Детальный'!J44</f>
        <v>25000</v>
      </c>
      <c r="L28" s="134" t="n">
        <f aca="false">'P&amp;L Детальный'!K44</f>
        <v>25000</v>
      </c>
      <c r="M28" s="134" t="n">
        <f aca="false">'P&amp;L Детальный'!L44</f>
        <v>25000</v>
      </c>
      <c r="N28" s="134" t="n">
        <f aca="false">'P&amp;L Детальный'!M44</f>
        <v>25000</v>
      </c>
      <c r="O28" s="134" t="n">
        <f aca="false">SUM(C28:N28)</f>
        <v>225000</v>
      </c>
    </row>
    <row r="29" customFormat="false" ht="16.5" hidden="false" customHeight="true" outlineLevel="0" collapsed="false">
      <c r="A29" s="77" t="s">
        <v>230</v>
      </c>
      <c r="B29" s="135" t="n">
        <v>0</v>
      </c>
      <c r="C29" s="135" t="n">
        <f aca="false">'P&amp;L Детальный'!B45</f>
        <v>0</v>
      </c>
      <c r="D29" s="135" t="n">
        <f aca="false">'P&amp;L Детальный'!C45</f>
        <v>0</v>
      </c>
      <c r="E29" s="135" t="n">
        <f aca="false">'P&amp;L Детальный'!D45</f>
        <v>0</v>
      </c>
      <c r="F29" s="135" t="n">
        <f aca="false">'P&amp;L Детальный'!E45</f>
        <v>0</v>
      </c>
      <c r="G29" s="135" t="n">
        <f aca="false">'P&amp;L Детальный'!F45</f>
        <v>0</v>
      </c>
      <c r="H29" s="135" t="n">
        <f aca="false">'P&amp;L Детальный'!G45</f>
        <v>0</v>
      </c>
      <c r="I29" s="135" t="n">
        <f aca="false">'P&amp;L Детальный'!H45</f>
        <v>0</v>
      </c>
      <c r="J29" s="135" t="n">
        <f aca="false">'P&amp;L Детальный'!I45</f>
        <v>30000</v>
      </c>
      <c r="K29" s="135" t="n">
        <f aca="false">'P&amp;L Детальный'!J45</f>
        <v>30000</v>
      </c>
      <c r="L29" s="135" t="n">
        <f aca="false">'P&amp;L Детальный'!K45</f>
        <v>30000</v>
      </c>
      <c r="M29" s="135" t="n">
        <f aca="false">'P&amp;L Детальный'!L45</f>
        <v>30000</v>
      </c>
      <c r="N29" s="135" t="n">
        <f aca="false">'P&amp;L Детальный'!M45</f>
        <v>30000</v>
      </c>
      <c r="O29" s="135" t="n">
        <f aca="false">SUM(C29:N29)</f>
        <v>150000</v>
      </c>
    </row>
    <row r="30" customFormat="false" ht="16.5" hidden="false" customHeight="true" outlineLevel="0" collapsed="false">
      <c r="A30" s="133" t="s">
        <v>231</v>
      </c>
      <c r="B30" s="134" t="n">
        <v>0</v>
      </c>
      <c r="C30" s="134" t="n">
        <f aca="false">'P&amp;L Детальный'!B46</f>
        <v>0</v>
      </c>
      <c r="D30" s="134" t="n">
        <f aca="false">'P&amp;L Детальный'!C46</f>
        <v>0</v>
      </c>
      <c r="E30" s="134" t="n">
        <f aca="false">'P&amp;L Детальный'!D46</f>
        <v>0</v>
      </c>
      <c r="F30" s="134" t="n">
        <f aca="false">'P&amp;L Детальный'!E46</f>
        <v>7500</v>
      </c>
      <c r="G30" s="134" t="n">
        <f aca="false">'P&amp;L Детальный'!F46</f>
        <v>7500</v>
      </c>
      <c r="H30" s="134" t="n">
        <f aca="false">'P&amp;L Детальный'!G46</f>
        <v>7500</v>
      </c>
      <c r="I30" s="134" t="n">
        <f aca="false">'P&amp;L Детальный'!H46</f>
        <v>7500</v>
      </c>
      <c r="J30" s="134" t="n">
        <f aca="false">'P&amp;L Детальный'!I46</f>
        <v>16500</v>
      </c>
      <c r="K30" s="134" t="n">
        <f aca="false">'P&amp;L Детальный'!J46</f>
        <v>16500</v>
      </c>
      <c r="L30" s="134" t="n">
        <f aca="false">'P&amp;L Детальный'!K46</f>
        <v>16500</v>
      </c>
      <c r="M30" s="134" t="n">
        <f aca="false">'P&amp;L Детальный'!L46</f>
        <v>16500</v>
      </c>
      <c r="N30" s="134" t="n">
        <f aca="false">'P&amp;L Детальный'!M46</f>
        <v>16500</v>
      </c>
      <c r="O30" s="134" t="n">
        <f aca="false">SUM(C30:N30)</f>
        <v>112500</v>
      </c>
    </row>
    <row r="31" customFormat="false" ht="18.75" hidden="false" customHeight="true" outlineLevel="0" collapsed="false">
      <c r="A31" s="136" t="s">
        <v>232</v>
      </c>
      <c r="B31" s="137" t="n">
        <f aca="false">B24+B25+B26+B27+B28+B29+B30</f>
        <v>0</v>
      </c>
      <c r="C31" s="137" t="n">
        <f aca="false">C24+C25+C26+C27+C28+C29+C30</f>
        <v>13750</v>
      </c>
      <c r="D31" s="137" t="n">
        <f aca="false">D24+D25+D26+D27+D28+D29+D30</f>
        <v>14450</v>
      </c>
      <c r="E31" s="137" t="n">
        <f aca="false">E24+E25+E26+E27+E28+E29+E30</f>
        <v>12800</v>
      </c>
      <c r="F31" s="137" t="n">
        <f aca="false">F24+F25+F26+F27+F28+F29+F30</f>
        <v>46000</v>
      </c>
      <c r="G31" s="137" t="n">
        <f aca="false">G24+G25+G26+G27+G28+G29+G30</f>
        <v>46700</v>
      </c>
      <c r="H31" s="137" t="n">
        <f aca="false">H24+H25+H26+H27+H28+H29+H30</f>
        <v>47050</v>
      </c>
      <c r="I31" s="137" t="n">
        <f aca="false">I24+I25+I26+I27+I28+I29+I30</f>
        <v>46750</v>
      </c>
      <c r="J31" s="137" t="n">
        <f aca="false">J24+J25+J26+J27+J28+J29+J30</f>
        <v>86100</v>
      </c>
      <c r="K31" s="137" t="n">
        <f aca="false">K24+K25+K26+K27+K28+K29+K30</f>
        <v>86800</v>
      </c>
      <c r="L31" s="137" t="n">
        <f aca="false">L24+L25+L26+L27+L28+L29+L30</f>
        <v>87500</v>
      </c>
      <c r="M31" s="137" t="n">
        <f aca="false">M24+M25+M26+M27+M28+M29+M30</f>
        <v>88200</v>
      </c>
      <c r="N31" s="137" t="n">
        <f aca="false">N24+N25+N26+N27+N28+N29+N30</f>
        <v>88900</v>
      </c>
      <c r="O31" s="137" t="n">
        <f aca="false">SUM(B31:N31)</f>
        <v>665000</v>
      </c>
    </row>
    <row r="32" customFormat="false" ht="3" hidden="false" customHeight="true" outlineLevel="0" collapsed="false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</row>
    <row r="33" customFormat="false" ht="13.5" hidden="false" customHeight="true" outlineLevel="0" collapsed="false">
      <c r="A33" s="91" t="s">
        <v>233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</row>
    <row r="34" customFormat="false" ht="16.5" hidden="false" customHeight="true" outlineLevel="0" collapsed="false">
      <c r="A34" s="138" t="s">
        <v>234</v>
      </c>
      <c r="B34" s="102" t="n">
        <v>0</v>
      </c>
      <c r="C34" s="139" t="n">
        <v>0</v>
      </c>
      <c r="D34" s="139" t="n">
        <v>0</v>
      </c>
      <c r="E34" s="139" t="n">
        <v>0</v>
      </c>
      <c r="F34" s="140" t="n">
        <f aca="false">ROUND(('P&amp;L Детальный'!C56+'P&amp;L Детальный'!D56+'P&amp;L Детальный'!E56),0)</f>
        <v>27929</v>
      </c>
      <c r="G34" s="139" t="n">
        <v>0</v>
      </c>
      <c r="H34" s="139" t="n">
        <v>0</v>
      </c>
      <c r="I34" s="140" t="n">
        <f aca="false">ROUND(('P&amp;L Детальный'!F56+'P&amp;L Детальный'!G56+'P&amp;L Детальный'!H56),0)</f>
        <v>70027</v>
      </c>
      <c r="J34" s="139" t="n">
        <v>0</v>
      </c>
      <c r="K34" s="139" t="n">
        <v>0</v>
      </c>
      <c r="L34" s="140" t="n">
        <f aca="false">ROUND(('P&amp;L Детальный'!I56+'P&amp;L Детальный'!J56+'P&amp;L Детальный'!K56),0)</f>
        <v>100611</v>
      </c>
      <c r="M34" s="139" t="n">
        <v>0</v>
      </c>
      <c r="N34" s="140" t="n">
        <f aca="false">ROUND(('P&amp;L Детальный'!L56+'P&amp;L Детальный'!M56+'P&amp;L Детальный'!N56),0)</f>
        <v>389116</v>
      </c>
      <c r="O34" s="141" t="n">
        <f aca="false">SUM(C34:N34)</f>
        <v>587683</v>
      </c>
    </row>
    <row r="35" customFormat="false" ht="18.75" hidden="false" customHeight="true" outlineLevel="0" collapsed="false">
      <c r="A35" s="93" t="s">
        <v>235</v>
      </c>
      <c r="B35" s="94" t="n">
        <f aca="false">B34</f>
        <v>0</v>
      </c>
      <c r="C35" s="94" t="n">
        <f aca="false">C34</f>
        <v>0</v>
      </c>
      <c r="D35" s="94" t="n">
        <f aca="false">D34</f>
        <v>0</v>
      </c>
      <c r="E35" s="94" t="n">
        <f aca="false">E34</f>
        <v>0</v>
      </c>
      <c r="F35" s="94" t="n">
        <f aca="false">F34</f>
        <v>27929</v>
      </c>
      <c r="G35" s="94" t="n">
        <f aca="false">G34</f>
        <v>0</v>
      </c>
      <c r="H35" s="94" t="n">
        <f aca="false">H34</f>
        <v>0</v>
      </c>
      <c r="I35" s="94" t="n">
        <f aca="false">I34</f>
        <v>70027</v>
      </c>
      <c r="J35" s="94" t="n">
        <f aca="false">J34</f>
        <v>0</v>
      </c>
      <c r="K35" s="94" t="n">
        <f aca="false">K34</f>
        <v>0</v>
      </c>
      <c r="L35" s="94" t="n">
        <f aca="false">L34</f>
        <v>100611</v>
      </c>
      <c r="M35" s="94" t="n">
        <f aca="false">M34</f>
        <v>0</v>
      </c>
      <c r="N35" s="94" t="n">
        <f aca="false">N34</f>
        <v>389116</v>
      </c>
      <c r="O35" s="94" t="n">
        <f aca="false">SUM(B35:N35)</f>
        <v>587683</v>
      </c>
    </row>
    <row r="36" customFormat="false" ht="3" hidden="false" customHeight="true" outlineLevel="0" collapsed="false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</row>
    <row r="37" customFormat="false" ht="18.75" hidden="false" customHeight="true" outlineLevel="0" collapsed="false">
      <c r="A37" s="142" t="s">
        <v>236</v>
      </c>
      <c r="B37" s="143" t="n">
        <f aca="false">B18+B21+B31+B35</f>
        <v>170000</v>
      </c>
      <c r="C37" s="143" t="n">
        <f aca="false">C18+C21+C31+C35</f>
        <v>49610.5</v>
      </c>
      <c r="D37" s="143" t="n">
        <f aca="false">D18+D21+D31+D35</f>
        <v>64654.7</v>
      </c>
      <c r="E37" s="143" t="n">
        <f aca="false">E18+E21+E31+E35</f>
        <v>70176.8</v>
      </c>
      <c r="F37" s="143" t="n">
        <f aca="false">F18+F21+F31+F35</f>
        <v>145650</v>
      </c>
      <c r="G37" s="143" t="n">
        <f aca="false">G18+G21+G31+G35</f>
        <v>132765.2</v>
      </c>
      <c r="H37" s="143" t="n">
        <f aca="false">H18+H21+H31+H35</f>
        <v>201967.36</v>
      </c>
      <c r="I37" s="143" t="n">
        <f aca="false">I18+I21+I31+I35</f>
        <v>295527.8</v>
      </c>
      <c r="J37" s="143" t="n">
        <f aca="false">J18+J21+J31+J35</f>
        <v>276767.52</v>
      </c>
      <c r="K37" s="143" t="n">
        <f aca="false">K18+K21+K31+K35</f>
        <v>301300.96</v>
      </c>
      <c r="L37" s="143" t="n">
        <f aca="false">L18+L21+L31+L35</f>
        <v>426445.4</v>
      </c>
      <c r="M37" s="143" t="n">
        <f aca="false">M18+M21+M31+M35</f>
        <v>350367.84</v>
      </c>
      <c r="N37" s="143" t="n">
        <f aca="false">N18+N21+N31+N35</f>
        <v>764017.28</v>
      </c>
      <c r="O37" s="143" t="n">
        <f aca="false">SUM(B37:N37)</f>
        <v>3249251.36</v>
      </c>
    </row>
    <row r="38" customFormat="false" ht="4.5" hidden="false" customHeight="true" outlineLevel="0" collapsed="false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</row>
    <row r="39" customFormat="false" ht="19.5" hidden="false" customHeight="true" outlineLevel="0" collapsed="false">
      <c r="A39" s="144" t="s">
        <v>237</v>
      </c>
      <c r="B39" s="145" t="n">
        <f aca="false">B15-B37</f>
        <v>180000</v>
      </c>
      <c r="C39" s="145" t="n">
        <f aca="false">C15-C37</f>
        <v>-5735.5</v>
      </c>
      <c r="D39" s="145" t="n">
        <f aca="false">D15-D37</f>
        <v>40645.3</v>
      </c>
      <c r="E39" s="145" t="n">
        <f aca="false">E15-E37</f>
        <v>61448.2</v>
      </c>
      <c r="F39" s="145" t="n">
        <f aca="false">F15-F37</f>
        <v>12300</v>
      </c>
      <c r="G39" s="145" t="n">
        <f aca="false">G15-G37</f>
        <v>60284.8</v>
      </c>
      <c r="H39" s="145" t="n">
        <f aca="false">H15-H37</f>
        <v>92872.64</v>
      </c>
      <c r="I39" s="145" t="n">
        <f aca="false">I15-I37</f>
        <v>112712.2</v>
      </c>
      <c r="J39" s="145" t="n">
        <f aca="false">J15-J37</f>
        <v>175212.48</v>
      </c>
      <c r="K39" s="145" t="n">
        <f aca="false">K15-K37</f>
        <v>194419.04</v>
      </c>
      <c r="L39" s="145" t="n">
        <f aca="false">L15-L37</f>
        <v>127594.6</v>
      </c>
      <c r="M39" s="145" t="n">
        <f aca="false">M15-M37</f>
        <v>261992.16</v>
      </c>
      <c r="N39" s="145" t="n">
        <f aca="false">N15-N37</f>
        <v>-93337.28</v>
      </c>
      <c r="O39" s="145" t="n">
        <f aca="false">SUM(B39:N39)</f>
        <v>1220408.64</v>
      </c>
    </row>
    <row r="40" customFormat="false" ht="4.5" hidden="false" customHeight="true" outlineLevel="0" collapsed="false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</row>
    <row r="41" customFormat="false" ht="21.75" hidden="false" customHeight="true" outlineLevel="0" collapsed="false">
      <c r="A41" s="146" t="s">
        <v>238</v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customFormat="false" ht="21.75" hidden="false" customHeight="true" outlineLevel="0" collapsed="false">
      <c r="A42" s="147" t="s">
        <v>239</v>
      </c>
      <c r="B42" s="148" t="n">
        <f aca="false">B39</f>
        <v>180000</v>
      </c>
      <c r="C42" s="148" t="n">
        <f aca="false">B42+C39</f>
        <v>174264.5</v>
      </c>
      <c r="D42" s="148" t="n">
        <f aca="false">C42+D39</f>
        <v>214909.8</v>
      </c>
      <c r="E42" s="148" t="n">
        <f aca="false">D42+E39</f>
        <v>276358</v>
      </c>
      <c r="F42" s="148" t="n">
        <f aca="false">E42+F39</f>
        <v>288658</v>
      </c>
      <c r="G42" s="148" t="n">
        <f aca="false">F42+G39</f>
        <v>348942.8</v>
      </c>
      <c r="H42" s="148" t="n">
        <f aca="false">G42+H39</f>
        <v>441815.44</v>
      </c>
      <c r="I42" s="148" t="n">
        <f aca="false">H42+I39</f>
        <v>554527.64</v>
      </c>
      <c r="J42" s="148" t="n">
        <f aca="false">I42+J39</f>
        <v>729740.12</v>
      </c>
      <c r="K42" s="148" t="n">
        <f aca="false">J42+K39</f>
        <v>924159.16</v>
      </c>
      <c r="L42" s="148" t="n">
        <f aca="false">K42+L39</f>
        <v>1051753.76</v>
      </c>
      <c r="M42" s="148" t="n">
        <f aca="false">L42+M39</f>
        <v>1313745.92</v>
      </c>
      <c r="N42" s="148" t="n">
        <f aca="false">M42+N39</f>
        <v>1220408.64</v>
      </c>
      <c r="O42" s="148" t="n">
        <f aca="false">N42</f>
        <v>1220408.64</v>
      </c>
    </row>
    <row r="43" customFormat="false" ht="15.75" hidden="false" customHeight="true" outlineLevel="0" collapsed="false">
      <c r="A43" s="149" t="s">
        <v>240</v>
      </c>
      <c r="B43" s="150" t="n">
        <v>30000</v>
      </c>
      <c r="C43" s="150" t="n">
        <v>30000</v>
      </c>
      <c r="D43" s="150" t="n">
        <v>30000</v>
      </c>
      <c r="E43" s="150" t="n">
        <v>40000</v>
      </c>
      <c r="F43" s="150" t="n">
        <v>40000</v>
      </c>
      <c r="G43" s="150" t="n">
        <v>70000</v>
      </c>
      <c r="H43" s="150" t="n">
        <v>70000</v>
      </c>
      <c r="I43" s="150" t="n">
        <v>70000</v>
      </c>
      <c r="J43" s="150" t="n">
        <v>70000</v>
      </c>
      <c r="K43" s="150" t="n">
        <v>70000</v>
      </c>
      <c r="L43" s="150" t="n">
        <v>70000</v>
      </c>
      <c r="M43" s="150" t="n">
        <v>70000</v>
      </c>
      <c r="N43" s="150" t="n">
        <v>70000</v>
      </c>
      <c r="O43" s="150" t="n">
        <v>70000</v>
      </c>
    </row>
    <row r="44" customFormat="false" ht="16.5" hidden="false" customHeight="true" outlineLevel="0" collapsed="false">
      <c r="A44" s="149" t="s">
        <v>241</v>
      </c>
      <c r="B44" s="150" t="n">
        <v>150000</v>
      </c>
      <c r="C44" s="150" t="n">
        <v>104264</v>
      </c>
      <c r="D44" s="150" t="n">
        <v>144910</v>
      </c>
      <c r="E44" s="150" t="n">
        <v>206358</v>
      </c>
      <c r="F44" s="150" t="n">
        <v>221604</v>
      </c>
      <c r="G44" s="150" t="n">
        <v>281889</v>
      </c>
      <c r="H44" s="150" t="n">
        <v>374761</v>
      </c>
      <c r="I44" s="150" t="n">
        <v>510592</v>
      </c>
      <c r="J44" s="150" t="n">
        <v>685804</v>
      </c>
      <c r="K44" s="150" t="n">
        <v>880223</v>
      </c>
      <c r="L44" s="150" t="n">
        <v>1014638</v>
      </c>
      <c r="M44" s="150" t="n">
        <v>1276630</v>
      </c>
      <c r="N44" s="150" t="n">
        <v>1441390</v>
      </c>
      <c r="O44" s="150" t="n">
        <v>1441390</v>
      </c>
    </row>
    <row r="45" customFormat="false" ht="4.5" hidden="false" customHeight="true" outlineLevel="0" collapsed="false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</row>
    <row r="46" customFormat="false" ht="19.5" hidden="false" customHeight="true" outlineLevel="0" collapsed="false">
      <c r="A46" s="119" t="s">
        <v>242</v>
      </c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</row>
    <row r="47" customFormat="false" ht="21.75" hidden="false" customHeight="true" outlineLevel="0" collapsed="false">
      <c r="A47" s="52" t="s">
        <v>2</v>
      </c>
      <c r="B47" s="52" t="s">
        <v>200</v>
      </c>
      <c r="C47" s="52" t="s">
        <v>201</v>
      </c>
      <c r="D47" s="52" t="s">
        <v>202</v>
      </c>
      <c r="E47" s="52" t="s">
        <v>203</v>
      </c>
      <c r="F47" s="52" t="s">
        <v>204</v>
      </c>
      <c r="G47" s="52" t="s">
        <v>205</v>
      </c>
      <c r="H47" s="52" t="s">
        <v>206</v>
      </c>
      <c r="I47" s="52" t="s">
        <v>207</v>
      </c>
      <c r="J47" s="52" t="s">
        <v>208</v>
      </c>
      <c r="K47" s="52" t="s">
        <v>209</v>
      </c>
      <c r="L47" s="52" t="s">
        <v>210</v>
      </c>
      <c r="M47" s="52" t="s">
        <v>211</v>
      </c>
      <c r="N47" s="52" t="s">
        <v>212</v>
      </c>
      <c r="O47" s="52" t="s">
        <v>213</v>
      </c>
    </row>
    <row r="48" customFormat="false" ht="15.75" hidden="false" customHeight="true" outlineLevel="0" collapsed="false">
      <c r="A48" s="124" t="s">
        <v>243</v>
      </c>
      <c r="B48" s="125" t="n">
        <v>0</v>
      </c>
      <c r="C48" s="151" t="n">
        <v>87750</v>
      </c>
      <c r="D48" s="151" t="n">
        <v>122850</v>
      </c>
      <c r="E48" s="151" t="n">
        <v>140400</v>
      </c>
      <c r="F48" s="151" t="n">
        <v>175500</v>
      </c>
      <c r="G48" s="151" t="n">
        <v>210600</v>
      </c>
      <c r="H48" s="151" t="n">
        <v>379080</v>
      </c>
      <c r="I48" s="151" t="n">
        <v>437400</v>
      </c>
      <c r="J48" s="151" t="n">
        <v>466560</v>
      </c>
      <c r="K48" s="151" t="n">
        <v>524880</v>
      </c>
      <c r="L48" s="151" t="n">
        <v>583200</v>
      </c>
      <c r="M48" s="151" t="n">
        <v>641520</v>
      </c>
      <c r="N48" s="151" t="n">
        <v>699840</v>
      </c>
      <c r="O48" s="127" t="n">
        <f aca="false">SUM(C48:N48)</f>
        <v>4469580</v>
      </c>
    </row>
    <row r="49" customFormat="false" ht="15.75" hidden="false" customHeight="true" outlineLevel="0" collapsed="false">
      <c r="A49" s="124" t="s">
        <v>244</v>
      </c>
      <c r="B49" s="125" t="n">
        <v>0</v>
      </c>
      <c r="C49" s="151" t="n">
        <v>32418</v>
      </c>
      <c r="D49" s="151" t="n">
        <v>49466</v>
      </c>
      <c r="E49" s="151" t="n">
        <v>59690</v>
      </c>
      <c r="F49" s="151" t="n">
        <v>49112</v>
      </c>
      <c r="G49" s="151" t="n">
        <v>66160</v>
      </c>
      <c r="H49" s="151" t="n">
        <v>150546</v>
      </c>
      <c r="I49" s="151" t="n">
        <v>180114</v>
      </c>
      <c r="J49" s="151" t="n">
        <v>161323</v>
      </c>
      <c r="K49" s="151" t="n">
        <v>190042</v>
      </c>
      <c r="L49" s="151" t="n">
        <v>218761</v>
      </c>
      <c r="M49" s="151" t="n">
        <v>247479</v>
      </c>
      <c r="N49" s="151" t="n">
        <v>276198</v>
      </c>
      <c r="O49" s="127" t="n">
        <f aca="false">SUM(C49:N49)</f>
        <v>1681309</v>
      </c>
    </row>
    <row r="50" customFormat="false" ht="15.75" hidden="false" customHeight="true" outlineLevel="0" collapsed="false">
      <c r="A50" s="152" t="s">
        <v>245</v>
      </c>
      <c r="B50" s="112" t="n">
        <f aca="false">B39</f>
        <v>180000</v>
      </c>
      <c r="C50" s="112" t="n">
        <f aca="false">C39</f>
        <v>-5735.5</v>
      </c>
      <c r="D50" s="112" t="n">
        <f aca="false">D39</f>
        <v>40645.3</v>
      </c>
      <c r="E50" s="112" t="n">
        <f aca="false">E39</f>
        <v>61448.2</v>
      </c>
      <c r="F50" s="112" t="n">
        <f aca="false">F39</f>
        <v>12300</v>
      </c>
      <c r="G50" s="112" t="n">
        <f aca="false">G39</f>
        <v>60284.8</v>
      </c>
      <c r="H50" s="112" t="n">
        <f aca="false">H39</f>
        <v>92872.64</v>
      </c>
      <c r="I50" s="112" t="n">
        <f aca="false">I39</f>
        <v>112712.2</v>
      </c>
      <c r="J50" s="112" t="n">
        <f aca="false">J39</f>
        <v>175212.48</v>
      </c>
      <c r="K50" s="112" t="n">
        <f aca="false">K39</f>
        <v>194419.04</v>
      </c>
      <c r="L50" s="112" t="n">
        <f aca="false">L39</f>
        <v>127594.6</v>
      </c>
      <c r="M50" s="112" t="n">
        <f aca="false">M39</f>
        <v>261992.16</v>
      </c>
      <c r="N50" s="112" t="n">
        <f aca="false">N39</f>
        <v>-93337.28</v>
      </c>
      <c r="O50" s="112" t="n">
        <f aca="false">O39</f>
        <v>1220408.64</v>
      </c>
    </row>
    <row r="51" customFormat="false" ht="16.5" hidden="false" customHeight="true" outlineLevel="0" collapsed="false">
      <c r="A51" s="153" t="s">
        <v>246</v>
      </c>
      <c r="B51" s="154" t="n">
        <f aca="false">B42</f>
        <v>180000</v>
      </c>
      <c r="C51" s="154" t="n">
        <v>174264</v>
      </c>
      <c r="D51" s="154" t="n">
        <v>214910</v>
      </c>
      <c r="E51" s="154" t="n">
        <v>276358</v>
      </c>
      <c r="F51" s="154" t="n">
        <v>291604</v>
      </c>
      <c r="G51" s="154" t="n">
        <v>351889</v>
      </c>
      <c r="H51" s="154" t="n">
        <v>444761</v>
      </c>
      <c r="I51" s="154" t="n">
        <v>580592</v>
      </c>
      <c r="J51" s="154" t="n">
        <v>755804</v>
      </c>
      <c r="K51" s="154" t="n">
        <v>950223</v>
      </c>
      <c r="L51" s="154" t="n">
        <v>1084638</v>
      </c>
      <c r="M51" s="154" t="n">
        <v>1346630</v>
      </c>
      <c r="N51" s="154" t="n">
        <v>1511390</v>
      </c>
      <c r="O51" s="154" t="n">
        <f aca="false">O42</f>
        <v>1220408.64</v>
      </c>
    </row>
    <row r="52" customFormat="false" ht="4.5" hidden="false" customHeight="true" outlineLevel="0" collapsed="false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</row>
    <row r="53" customFormat="false" ht="12.75" hidden="false" customHeight="true" outlineLevel="0" collapsed="false">
      <c r="A53" s="117" t="s">
        <v>247</v>
      </c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</row>
    <row r="54" customFormat="false" ht="12.75" hidden="false" customHeight="true" outlineLevel="0" collapsed="false">
      <c r="A54" s="117" t="s">
        <v>248</v>
      </c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</row>
    <row r="55" customFormat="false" ht="12.75" hidden="false" customHeight="true" outlineLevel="0" collapsed="false">
      <c r="A55" s="117" t="s">
        <v>249</v>
      </c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</row>
    <row r="56" customFormat="false" ht="12.75" hidden="false" customHeight="true" outlineLevel="0" collapsed="false">
      <c r="A56" s="117" t="s">
        <v>250</v>
      </c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</row>
  </sheetData>
  <mergeCells count="19">
    <mergeCell ref="A1:O1"/>
    <mergeCell ref="A2:O2"/>
    <mergeCell ref="A3:O3"/>
    <mergeCell ref="A4:O4"/>
    <mergeCell ref="A7:O7"/>
    <mergeCell ref="A8:O8"/>
    <mergeCell ref="A9:O9"/>
    <mergeCell ref="A11:O11"/>
    <mergeCell ref="A14:O14"/>
    <mergeCell ref="A17:O17"/>
    <mergeCell ref="B20:O20"/>
    <mergeCell ref="B23:O23"/>
    <mergeCell ref="B33:O33"/>
    <mergeCell ref="A41:O41"/>
    <mergeCell ref="A46:O46"/>
    <mergeCell ref="A53:O53"/>
    <mergeCell ref="A54:O54"/>
    <mergeCell ref="A55:O55"/>
    <mergeCell ref="A56:O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false"/>
  </sheetPr>
  <dimension ref="A1:H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5" min="4" style="1" width="12"/>
    <col collapsed="false" customWidth="true" hidden="false" outlineLevel="0" max="7" min="6" style="1" width="14"/>
    <col collapsed="false" customWidth="true" hidden="false" outlineLevel="0" max="8" min="8" style="1" width="36"/>
  </cols>
  <sheetData>
    <row r="1" customFormat="false" ht="37.5" hidden="false" customHeight="true" outlineLevel="0" collapsed="false">
      <c r="A1" s="2" t="s">
        <v>251</v>
      </c>
      <c r="B1" s="2"/>
      <c r="C1" s="2"/>
      <c r="D1" s="2"/>
      <c r="E1" s="2"/>
      <c r="F1" s="2"/>
      <c r="G1" s="2"/>
      <c r="H1" s="2"/>
    </row>
    <row r="2" customFormat="false" ht="13.5" hidden="false" customHeight="true" outlineLevel="0" collapsed="false">
      <c r="A2" s="40" t="s">
        <v>252</v>
      </c>
      <c r="B2" s="40"/>
      <c r="C2" s="40"/>
      <c r="D2" s="40"/>
      <c r="E2" s="40"/>
      <c r="F2" s="40"/>
      <c r="G2" s="40"/>
      <c r="H2" s="40"/>
    </row>
    <row r="3" customFormat="false" ht="4.5" hidden="false" customHeight="true" outlineLevel="0" collapsed="false">
      <c r="A3" s="60"/>
      <c r="B3" s="60"/>
      <c r="C3" s="60"/>
      <c r="D3" s="60"/>
      <c r="E3" s="60"/>
      <c r="F3" s="60"/>
      <c r="G3" s="60"/>
      <c r="H3" s="60"/>
    </row>
    <row r="4" customFormat="false" ht="21.75" hidden="false" customHeight="true" outlineLevel="0" collapsed="false">
      <c r="A4" s="61" t="s">
        <v>253</v>
      </c>
      <c r="B4" s="61"/>
      <c r="C4" s="61"/>
      <c r="D4" s="61"/>
      <c r="E4" s="61"/>
      <c r="F4" s="61"/>
      <c r="G4" s="61"/>
      <c r="H4" s="61"/>
    </row>
    <row r="5" customFormat="false" ht="19.5" hidden="false" customHeight="true" outlineLevel="0" collapsed="false">
      <c r="A5" s="155" t="s">
        <v>254</v>
      </c>
      <c r="B5" s="155" t="s">
        <v>255</v>
      </c>
      <c r="C5" s="155" t="s">
        <v>256</v>
      </c>
      <c r="D5" s="155" t="s">
        <v>257</v>
      </c>
      <c r="E5" s="155" t="s">
        <v>258</v>
      </c>
      <c r="F5" s="155" t="s">
        <v>259</v>
      </c>
      <c r="G5" s="155" t="s">
        <v>260</v>
      </c>
      <c r="H5" s="155" t="s">
        <v>261</v>
      </c>
    </row>
    <row r="6" customFormat="false" ht="18" hidden="false" customHeight="true" outlineLevel="0" collapsed="false">
      <c r="A6" s="156" t="n">
        <v>1</v>
      </c>
      <c r="B6" s="157" t="s">
        <v>262</v>
      </c>
      <c r="C6" s="158" t="s">
        <v>263</v>
      </c>
      <c r="D6" s="159" t="n">
        <v>0</v>
      </c>
      <c r="E6" s="159" t="n">
        <v>0</v>
      </c>
      <c r="F6" s="160" t="n">
        <v>0</v>
      </c>
      <c r="G6" s="161"/>
      <c r="H6" s="162" t="s">
        <v>264</v>
      </c>
    </row>
    <row r="7" customFormat="false" ht="18" hidden="false" customHeight="true" outlineLevel="0" collapsed="false">
      <c r="A7" s="156" t="n">
        <v>2</v>
      </c>
      <c r="B7" s="157" t="s">
        <v>265</v>
      </c>
      <c r="C7" s="158" t="s">
        <v>263</v>
      </c>
      <c r="D7" s="159" t="n">
        <v>0</v>
      </c>
      <c r="E7" s="159" t="n">
        <v>0</v>
      </c>
      <c r="F7" s="160" t="n">
        <v>0</v>
      </c>
      <c r="G7" s="161" t="n">
        <v>0</v>
      </c>
      <c r="H7" s="162" t="s">
        <v>266</v>
      </c>
    </row>
    <row r="8" customFormat="false" ht="18" hidden="false" customHeight="true" outlineLevel="0" collapsed="false">
      <c r="A8" s="163" t="n">
        <v>3</v>
      </c>
      <c r="B8" s="164" t="s">
        <v>267</v>
      </c>
      <c r="C8" s="165" t="s">
        <v>268</v>
      </c>
      <c r="D8" s="166" t="n">
        <v>4000</v>
      </c>
      <c r="E8" s="166" t="n">
        <v>8000</v>
      </c>
      <c r="F8" s="90" t="n">
        <v>6000</v>
      </c>
      <c r="G8" s="161"/>
      <c r="H8" s="167" t="s">
        <v>269</v>
      </c>
    </row>
    <row r="9" customFormat="false" ht="18" hidden="false" customHeight="true" outlineLevel="0" collapsed="false">
      <c r="A9" s="156" t="n">
        <v>4</v>
      </c>
      <c r="B9" s="157" t="s">
        <v>270</v>
      </c>
      <c r="C9" s="158" t="s">
        <v>268</v>
      </c>
      <c r="D9" s="159" t="n">
        <v>1500</v>
      </c>
      <c r="E9" s="159" t="n">
        <v>3500</v>
      </c>
      <c r="F9" s="160" t="n">
        <v>2500</v>
      </c>
      <c r="G9" s="161"/>
      <c r="H9" s="162" t="s">
        <v>271</v>
      </c>
    </row>
    <row r="10" customFormat="false" ht="18" hidden="false" customHeight="true" outlineLevel="0" collapsed="false">
      <c r="A10" s="163" t="n">
        <v>5</v>
      </c>
      <c r="B10" s="164" t="s">
        <v>272</v>
      </c>
      <c r="C10" s="165" t="s">
        <v>268</v>
      </c>
      <c r="D10" s="166" t="n">
        <v>3000</v>
      </c>
      <c r="E10" s="166" t="n">
        <v>6000</v>
      </c>
      <c r="F10" s="90" t="n">
        <v>4000</v>
      </c>
      <c r="G10" s="161"/>
      <c r="H10" s="167" t="s">
        <v>273</v>
      </c>
    </row>
    <row r="11" customFormat="false" ht="18" hidden="false" customHeight="true" outlineLevel="0" collapsed="false">
      <c r="A11" s="156" t="n">
        <v>6</v>
      </c>
      <c r="B11" s="157" t="s">
        <v>274</v>
      </c>
      <c r="C11" s="158" t="s">
        <v>268</v>
      </c>
      <c r="D11" s="159" t="n">
        <v>500</v>
      </c>
      <c r="E11" s="159" t="n">
        <v>1500</v>
      </c>
      <c r="F11" s="160" t="n">
        <v>1000</v>
      </c>
      <c r="G11" s="161"/>
      <c r="H11" s="162" t="s">
        <v>275</v>
      </c>
    </row>
    <row r="12" customFormat="false" ht="18.75" hidden="false" customHeight="true" outlineLevel="0" collapsed="false">
      <c r="A12" s="168" t="s">
        <v>276</v>
      </c>
      <c r="B12" s="168"/>
      <c r="C12" s="169"/>
      <c r="D12" s="170" t="n">
        <f aca="false">D6+D7+D8+D9+D10+D11</f>
        <v>9000</v>
      </c>
      <c r="E12" s="170" t="n">
        <f aca="false">E6+E7+E8+E9+E10+E11</f>
        <v>19000</v>
      </c>
      <c r="F12" s="171" t="n">
        <f aca="false">F6+F7+F8+F9+F10+F11</f>
        <v>13500</v>
      </c>
      <c r="G12" s="172" t="n">
        <f aca="false">G6+G7+G8+G9+G10+G11</f>
        <v>0</v>
      </c>
      <c r="H12" s="169"/>
    </row>
    <row r="13" customFormat="false" ht="4.5" hidden="false" customHeight="true" outlineLevel="0" collapsed="false">
      <c r="A13" s="60"/>
      <c r="B13" s="60"/>
      <c r="C13" s="60"/>
      <c r="D13" s="60"/>
      <c r="E13" s="60"/>
      <c r="F13" s="60"/>
      <c r="G13" s="60"/>
      <c r="H13" s="60"/>
    </row>
    <row r="14" customFormat="false" ht="21.75" hidden="false" customHeight="true" outlineLevel="0" collapsed="false">
      <c r="A14" s="173" t="s">
        <v>277</v>
      </c>
      <c r="B14" s="173"/>
      <c r="C14" s="173"/>
      <c r="D14" s="173"/>
      <c r="E14" s="173"/>
      <c r="F14" s="173"/>
      <c r="G14" s="173"/>
      <c r="H14" s="173"/>
    </row>
    <row r="15" customFormat="false" ht="19.5" hidden="false" customHeight="true" outlineLevel="0" collapsed="false">
      <c r="A15" s="174" t="s">
        <v>254</v>
      </c>
      <c r="B15" s="174" t="s">
        <v>255</v>
      </c>
      <c r="C15" s="174" t="s">
        <v>256</v>
      </c>
      <c r="D15" s="174" t="s">
        <v>257</v>
      </c>
      <c r="E15" s="174" t="s">
        <v>258</v>
      </c>
      <c r="F15" s="174" t="s">
        <v>259</v>
      </c>
      <c r="G15" s="174" t="s">
        <v>260</v>
      </c>
      <c r="H15" s="174" t="s">
        <v>261</v>
      </c>
    </row>
    <row r="16" customFormat="false" ht="18" hidden="false" customHeight="true" outlineLevel="0" collapsed="false">
      <c r="A16" s="175" t="n">
        <v>7</v>
      </c>
      <c r="B16" s="176" t="s">
        <v>278</v>
      </c>
      <c r="C16" s="177" t="s">
        <v>25</v>
      </c>
      <c r="D16" s="178" t="n">
        <v>2400</v>
      </c>
      <c r="E16" s="178" t="n">
        <v>4500</v>
      </c>
      <c r="F16" s="179" t="n">
        <v>3000</v>
      </c>
      <c r="G16" s="161"/>
      <c r="H16" s="180" t="s">
        <v>279</v>
      </c>
    </row>
    <row r="17" customFormat="false" ht="18" hidden="false" customHeight="true" outlineLevel="0" collapsed="false">
      <c r="A17" s="163" t="n">
        <v>8</v>
      </c>
      <c r="B17" s="164" t="s">
        <v>280</v>
      </c>
      <c r="C17" s="165" t="s">
        <v>25</v>
      </c>
      <c r="D17" s="166" t="n">
        <v>5250</v>
      </c>
      <c r="E17" s="166" t="n">
        <v>9000</v>
      </c>
      <c r="F17" s="90" t="n">
        <v>7000</v>
      </c>
      <c r="G17" s="161"/>
      <c r="H17" s="167" t="s">
        <v>281</v>
      </c>
    </row>
    <row r="18" customFormat="false" ht="18" hidden="false" customHeight="true" outlineLevel="0" collapsed="false">
      <c r="A18" s="175" t="n">
        <v>9</v>
      </c>
      <c r="B18" s="176" t="s">
        <v>282</v>
      </c>
      <c r="C18" s="177" t="s">
        <v>25</v>
      </c>
      <c r="D18" s="178" t="n">
        <v>2400</v>
      </c>
      <c r="E18" s="178" t="n">
        <v>4800</v>
      </c>
      <c r="F18" s="179" t="n">
        <v>3500</v>
      </c>
      <c r="G18" s="161"/>
      <c r="H18" s="180" t="s">
        <v>283</v>
      </c>
    </row>
    <row r="19" customFormat="false" ht="18" hidden="false" customHeight="true" outlineLevel="0" collapsed="false">
      <c r="A19" s="163" t="n">
        <v>10</v>
      </c>
      <c r="B19" s="164" t="s">
        <v>284</v>
      </c>
      <c r="C19" s="165" t="s">
        <v>25</v>
      </c>
      <c r="D19" s="166" t="n">
        <v>800</v>
      </c>
      <c r="E19" s="166" t="n">
        <v>1500</v>
      </c>
      <c r="F19" s="90" t="n">
        <v>1000</v>
      </c>
      <c r="G19" s="161"/>
      <c r="H19" s="167" t="s">
        <v>285</v>
      </c>
    </row>
    <row r="20" customFormat="false" ht="18" hidden="false" customHeight="true" outlineLevel="0" collapsed="false">
      <c r="A20" s="175" t="n">
        <v>11</v>
      </c>
      <c r="B20" s="176" t="s">
        <v>286</v>
      </c>
      <c r="C20" s="177" t="s">
        <v>25</v>
      </c>
      <c r="D20" s="178" t="n">
        <v>1500</v>
      </c>
      <c r="E20" s="178" t="n">
        <v>3000</v>
      </c>
      <c r="F20" s="179" t="n">
        <v>2000</v>
      </c>
      <c r="G20" s="161"/>
      <c r="H20" s="180" t="s">
        <v>287</v>
      </c>
    </row>
    <row r="21" customFormat="false" ht="18" hidden="false" customHeight="true" outlineLevel="0" collapsed="false">
      <c r="A21" s="163" t="n">
        <v>12</v>
      </c>
      <c r="B21" s="164" t="s">
        <v>288</v>
      </c>
      <c r="C21" s="165" t="s">
        <v>25</v>
      </c>
      <c r="D21" s="166" t="n">
        <v>0</v>
      </c>
      <c r="E21" s="166" t="n">
        <v>0</v>
      </c>
      <c r="F21" s="90" t="n">
        <v>0</v>
      </c>
      <c r="G21" s="161"/>
      <c r="H21" s="167" t="s">
        <v>289</v>
      </c>
    </row>
    <row r="22" customFormat="false" ht="18.75" hidden="false" customHeight="true" outlineLevel="0" collapsed="false">
      <c r="A22" s="181" t="s">
        <v>290</v>
      </c>
      <c r="B22" s="181"/>
      <c r="C22" s="182"/>
      <c r="D22" s="183" t="n">
        <f aca="false">D16+D17+D18+D19+D20+D21</f>
        <v>12350</v>
      </c>
      <c r="E22" s="183" t="n">
        <f aca="false">E16+E17+E18+E19+E20+E21</f>
        <v>22800</v>
      </c>
      <c r="F22" s="184" t="n">
        <f aca="false">F16+F17+F18+F19+F20+F21</f>
        <v>16500</v>
      </c>
      <c r="G22" s="185" t="n">
        <f aca="false">G16+G17+G18+G19+G20+G21</f>
        <v>0</v>
      </c>
      <c r="H22" s="182"/>
    </row>
    <row r="23" customFormat="false" ht="4.5" hidden="false" customHeight="true" outlineLevel="0" collapsed="false">
      <c r="A23" s="60"/>
      <c r="B23" s="60"/>
      <c r="C23" s="60"/>
      <c r="D23" s="60"/>
      <c r="E23" s="60"/>
      <c r="F23" s="60"/>
      <c r="G23" s="60"/>
      <c r="H23" s="60"/>
    </row>
    <row r="24" customFormat="false" ht="21.75" hidden="false" customHeight="true" outlineLevel="0" collapsed="false">
      <c r="A24" s="70" t="s">
        <v>291</v>
      </c>
      <c r="B24" s="70"/>
      <c r="C24" s="70"/>
      <c r="D24" s="70"/>
      <c r="E24" s="70"/>
      <c r="F24" s="70"/>
      <c r="G24" s="70"/>
      <c r="H24" s="70"/>
    </row>
    <row r="25" customFormat="false" ht="19.5" hidden="false" customHeight="true" outlineLevel="0" collapsed="false">
      <c r="A25" s="186" t="s">
        <v>254</v>
      </c>
      <c r="B25" s="186" t="s">
        <v>255</v>
      </c>
      <c r="C25" s="186" t="s">
        <v>256</v>
      </c>
      <c r="D25" s="186" t="s">
        <v>257</v>
      </c>
      <c r="E25" s="186" t="s">
        <v>258</v>
      </c>
      <c r="F25" s="186" t="s">
        <v>259</v>
      </c>
      <c r="G25" s="186" t="s">
        <v>260</v>
      </c>
      <c r="H25" s="186" t="s">
        <v>261</v>
      </c>
    </row>
    <row r="26" customFormat="false" ht="18" hidden="false" customHeight="true" outlineLevel="0" collapsed="false">
      <c r="A26" s="187" t="n">
        <v>13</v>
      </c>
      <c r="B26" s="188" t="s">
        <v>292</v>
      </c>
      <c r="C26" s="189" t="s">
        <v>293</v>
      </c>
      <c r="D26" s="190" t="n">
        <v>10000</v>
      </c>
      <c r="E26" s="190" t="n">
        <v>20000</v>
      </c>
      <c r="F26" s="191" t="n">
        <v>15000</v>
      </c>
      <c r="G26" s="161"/>
      <c r="H26" s="192" t="s">
        <v>294</v>
      </c>
    </row>
    <row r="27" customFormat="false" ht="18" hidden="false" customHeight="true" outlineLevel="0" collapsed="false">
      <c r="A27" s="163" t="n">
        <v>14</v>
      </c>
      <c r="B27" s="164" t="s">
        <v>295</v>
      </c>
      <c r="C27" s="165" t="s">
        <v>296</v>
      </c>
      <c r="D27" s="166" t="n">
        <v>8000</v>
      </c>
      <c r="E27" s="166" t="n">
        <v>15000</v>
      </c>
      <c r="F27" s="90" t="n">
        <v>12000</v>
      </c>
      <c r="G27" s="161"/>
      <c r="H27" s="167" t="s">
        <v>297</v>
      </c>
    </row>
    <row r="28" customFormat="false" ht="18" hidden="false" customHeight="true" outlineLevel="0" collapsed="false">
      <c r="A28" s="187" t="n">
        <v>15</v>
      </c>
      <c r="B28" s="188" t="s">
        <v>298</v>
      </c>
      <c r="C28" s="189" t="s">
        <v>299</v>
      </c>
      <c r="D28" s="190" t="n">
        <v>15000</v>
      </c>
      <c r="E28" s="190" t="n">
        <v>35000</v>
      </c>
      <c r="F28" s="191" t="n">
        <v>25000</v>
      </c>
      <c r="G28" s="161"/>
      <c r="H28" s="192" t="s">
        <v>300</v>
      </c>
    </row>
    <row r="29" customFormat="false" ht="18" hidden="false" customHeight="true" outlineLevel="0" collapsed="false">
      <c r="A29" s="163" t="n">
        <v>16</v>
      </c>
      <c r="B29" s="164" t="s">
        <v>301</v>
      </c>
      <c r="C29" s="165" t="s">
        <v>299</v>
      </c>
      <c r="D29" s="166" t="n">
        <v>10000</v>
      </c>
      <c r="E29" s="166" t="n">
        <v>25000</v>
      </c>
      <c r="F29" s="90" t="n">
        <v>15000</v>
      </c>
      <c r="G29" s="161"/>
      <c r="H29" s="167" t="s">
        <v>302</v>
      </c>
    </row>
    <row r="30" customFormat="false" ht="18" hidden="false" customHeight="true" outlineLevel="0" collapsed="false">
      <c r="A30" s="187" t="n">
        <v>17</v>
      </c>
      <c r="B30" s="188" t="s">
        <v>303</v>
      </c>
      <c r="C30" s="189" t="s">
        <v>299</v>
      </c>
      <c r="D30" s="190" t="n">
        <v>5000</v>
      </c>
      <c r="E30" s="190" t="n">
        <v>15000</v>
      </c>
      <c r="F30" s="191" t="n">
        <v>8000</v>
      </c>
      <c r="G30" s="161"/>
      <c r="H30" s="192" t="s">
        <v>304</v>
      </c>
    </row>
    <row r="31" customFormat="false" ht="18" hidden="false" customHeight="true" outlineLevel="0" collapsed="false">
      <c r="A31" s="163" t="n">
        <v>18</v>
      </c>
      <c r="B31" s="164" t="s">
        <v>305</v>
      </c>
      <c r="C31" s="165" t="s">
        <v>299</v>
      </c>
      <c r="D31" s="166" t="n">
        <v>1000</v>
      </c>
      <c r="E31" s="166" t="n">
        <v>3000</v>
      </c>
      <c r="F31" s="90" t="n">
        <v>2000</v>
      </c>
      <c r="G31" s="161"/>
      <c r="H31" s="167" t="s">
        <v>306</v>
      </c>
    </row>
    <row r="32" customFormat="false" ht="18" hidden="false" customHeight="true" outlineLevel="0" collapsed="false">
      <c r="A32" s="187" t="n">
        <v>19</v>
      </c>
      <c r="B32" s="188" t="s">
        <v>307</v>
      </c>
      <c r="C32" s="189" t="s">
        <v>299</v>
      </c>
      <c r="D32" s="190" t="n">
        <v>0</v>
      </c>
      <c r="E32" s="190" t="n">
        <v>500</v>
      </c>
      <c r="F32" s="191" t="n">
        <v>0</v>
      </c>
      <c r="G32" s="161"/>
      <c r="H32" s="192" t="s">
        <v>308</v>
      </c>
    </row>
    <row r="33" customFormat="false" ht="18" hidden="false" customHeight="true" outlineLevel="0" collapsed="false">
      <c r="A33" s="163" t="n">
        <v>20</v>
      </c>
      <c r="B33" s="164" t="s">
        <v>309</v>
      </c>
      <c r="C33" s="165" t="s">
        <v>299</v>
      </c>
      <c r="D33" s="166" t="n">
        <v>0</v>
      </c>
      <c r="E33" s="166" t="n">
        <v>5000</v>
      </c>
      <c r="F33" s="90" t="n">
        <v>2000</v>
      </c>
      <c r="G33" s="161"/>
      <c r="H33" s="167" t="s">
        <v>310</v>
      </c>
    </row>
    <row r="34" customFormat="false" ht="18" hidden="false" customHeight="true" outlineLevel="0" collapsed="false">
      <c r="A34" s="187" t="n">
        <v>21</v>
      </c>
      <c r="B34" s="188" t="s">
        <v>311</v>
      </c>
      <c r="C34" s="189" t="s">
        <v>312</v>
      </c>
      <c r="D34" s="190" t="n">
        <v>4000</v>
      </c>
      <c r="E34" s="190" t="n">
        <v>7000</v>
      </c>
      <c r="F34" s="191" t="n">
        <v>5000</v>
      </c>
      <c r="G34" s="161"/>
      <c r="H34" s="192" t="s">
        <v>313</v>
      </c>
    </row>
    <row r="35" customFormat="false" ht="18" hidden="false" customHeight="true" outlineLevel="0" collapsed="false">
      <c r="A35" s="163" t="n">
        <v>22</v>
      </c>
      <c r="B35" s="164" t="s">
        <v>314</v>
      </c>
      <c r="C35" s="165" t="s">
        <v>315</v>
      </c>
      <c r="D35" s="166" t="n">
        <v>8000</v>
      </c>
      <c r="E35" s="166" t="n">
        <v>15000</v>
      </c>
      <c r="F35" s="90" t="n">
        <v>10000</v>
      </c>
      <c r="G35" s="161"/>
      <c r="H35" s="167" t="s">
        <v>316</v>
      </c>
    </row>
    <row r="36" customFormat="false" ht="18" hidden="false" customHeight="true" outlineLevel="0" collapsed="false">
      <c r="A36" s="187" t="n">
        <v>23</v>
      </c>
      <c r="B36" s="188" t="s">
        <v>317</v>
      </c>
      <c r="C36" s="189" t="s">
        <v>228</v>
      </c>
      <c r="D36" s="190" t="n">
        <v>3000</v>
      </c>
      <c r="E36" s="190" t="n">
        <v>7000</v>
      </c>
      <c r="F36" s="191" t="n">
        <v>5000</v>
      </c>
      <c r="G36" s="161"/>
      <c r="H36" s="192" t="s">
        <v>318</v>
      </c>
    </row>
    <row r="37" customFormat="false" ht="18" hidden="false" customHeight="true" outlineLevel="0" collapsed="false">
      <c r="A37" s="163" t="n">
        <v>24</v>
      </c>
      <c r="B37" s="164" t="s">
        <v>319</v>
      </c>
      <c r="C37" s="165" t="s">
        <v>115</v>
      </c>
      <c r="D37" s="166" t="n">
        <v>5000</v>
      </c>
      <c r="E37" s="166" t="n">
        <v>10000</v>
      </c>
      <c r="F37" s="90" t="n">
        <v>8000</v>
      </c>
      <c r="G37" s="161"/>
      <c r="H37" s="167" t="s">
        <v>320</v>
      </c>
    </row>
    <row r="38" customFormat="false" ht="18" hidden="false" customHeight="true" outlineLevel="0" collapsed="false">
      <c r="A38" s="187" t="n">
        <v>25</v>
      </c>
      <c r="B38" s="188" t="s">
        <v>321</v>
      </c>
      <c r="C38" s="189" t="s">
        <v>322</v>
      </c>
      <c r="D38" s="190" t="n">
        <v>15000</v>
      </c>
      <c r="E38" s="190" t="n">
        <v>50000</v>
      </c>
      <c r="F38" s="191" t="n">
        <v>30000</v>
      </c>
      <c r="G38" s="161"/>
      <c r="H38" s="192" t="s">
        <v>323</v>
      </c>
    </row>
    <row r="39" customFormat="false" ht="18" hidden="false" customHeight="true" outlineLevel="0" collapsed="false">
      <c r="A39" s="163" t="n">
        <v>26</v>
      </c>
      <c r="B39" s="164" t="s">
        <v>324</v>
      </c>
      <c r="C39" s="165" t="s">
        <v>325</v>
      </c>
      <c r="D39" s="166" t="n">
        <v>5000</v>
      </c>
      <c r="E39" s="166" t="n">
        <v>15000</v>
      </c>
      <c r="F39" s="90" t="n">
        <v>10000</v>
      </c>
      <c r="G39" s="161"/>
      <c r="H39" s="167" t="s">
        <v>326</v>
      </c>
    </row>
    <row r="40" customFormat="false" ht="18.75" hidden="false" customHeight="true" outlineLevel="0" collapsed="false">
      <c r="A40" s="193" t="s">
        <v>327</v>
      </c>
      <c r="B40" s="193"/>
      <c r="C40" s="194"/>
      <c r="D40" s="195" t="n">
        <f aca="false">D26+D27+D28+D29+D30+D31+D32+D33+D34+D35+D36+D37+D38+D39</f>
        <v>89000</v>
      </c>
      <c r="E40" s="195" t="n">
        <f aca="false">E26+E27+E28+E29+E30+E31+E32+E33+E34+E35+E36+E37+E38+E39</f>
        <v>222500</v>
      </c>
      <c r="F40" s="196" t="n">
        <f aca="false">F26+F27+F28+F29+F30+F31+F32+F33+F34+F35+F36+F37+F38+F39</f>
        <v>147000</v>
      </c>
      <c r="G40" s="197" t="n">
        <f aca="false">G26+G27+G28+G29+G30+G31+G32+G33+G34+G35+G36+G37+G38+G39</f>
        <v>0</v>
      </c>
      <c r="H40" s="194"/>
    </row>
    <row r="41" customFormat="false" ht="4.5" hidden="false" customHeight="true" outlineLevel="0" collapsed="false">
      <c r="A41" s="60"/>
      <c r="B41" s="60"/>
      <c r="C41" s="60"/>
      <c r="D41" s="60"/>
      <c r="E41" s="60"/>
      <c r="F41" s="60"/>
      <c r="G41" s="60"/>
      <c r="H41" s="60"/>
    </row>
    <row r="42" customFormat="false" ht="21.75" hidden="false" customHeight="true" outlineLevel="0" collapsed="false">
      <c r="A42" s="198" t="s">
        <v>328</v>
      </c>
      <c r="B42" s="198"/>
      <c r="C42" s="198"/>
      <c r="D42" s="198"/>
      <c r="E42" s="198"/>
      <c r="F42" s="198"/>
      <c r="G42" s="198"/>
      <c r="H42" s="198"/>
    </row>
    <row r="43" customFormat="false" ht="19.5" hidden="false" customHeight="true" outlineLevel="0" collapsed="false">
      <c r="A43" s="199" t="s">
        <v>254</v>
      </c>
      <c r="B43" s="199" t="s">
        <v>255</v>
      </c>
      <c r="C43" s="199" t="s">
        <v>256</v>
      </c>
      <c r="D43" s="199" t="s">
        <v>257</v>
      </c>
      <c r="E43" s="199" t="s">
        <v>258</v>
      </c>
      <c r="F43" s="199" t="s">
        <v>259</v>
      </c>
      <c r="G43" s="199" t="s">
        <v>260</v>
      </c>
      <c r="H43" s="199" t="s">
        <v>261</v>
      </c>
    </row>
    <row r="44" customFormat="false" ht="18" hidden="false" customHeight="true" outlineLevel="0" collapsed="false">
      <c r="A44" s="200" t="n">
        <v>27</v>
      </c>
      <c r="B44" s="201" t="s">
        <v>329</v>
      </c>
      <c r="C44" s="202" t="s">
        <v>330</v>
      </c>
      <c r="D44" s="203" t="n">
        <v>20000</v>
      </c>
      <c r="E44" s="203" t="n">
        <v>40000</v>
      </c>
      <c r="F44" s="121" t="n">
        <v>30000</v>
      </c>
      <c r="G44" s="161"/>
      <c r="H44" s="204" t="s">
        <v>331</v>
      </c>
    </row>
    <row r="45" customFormat="false" ht="18" hidden="false" customHeight="true" outlineLevel="0" collapsed="false">
      <c r="A45" s="163" t="n">
        <v>28</v>
      </c>
      <c r="B45" s="164" t="s">
        <v>332</v>
      </c>
      <c r="C45" s="165" t="s">
        <v>330</v>
      </c>
      <c r="D45" s="166" t="n">
        <v>15000</v>
      </c>
      <c r="E45" s="166" t="n">
        <v>30000</v>
      </c>
      <c r="F45" s="90" t="n">
        <v>20000</v>
      </c>
      <c r="G45" s="161"/>
      <c r="H45" s="167" t="s">
        <v>333</v>
      </c>
    </row>
    <row r="46" customFormat="false" ht="18" hidden="false" customHeight="true" outlineLevel="0" collapsed="false">
      <c r="A46" s="200" t="n">
        <v>29</v>
      </c>
      <c r="B46" s="201" t="s">
        <v>334</v>
      </c>
      <c r="C46" s="202" t="s">
        <v>330</v>
      </c>
      <c r="D46" s="203" t="n">
        <v>20000</v>
      </c>
      <c r="E46" s="203" t="n">
        <v>40000</v>
      </c>
      <c r="F46" s="121" t="n">
        <v>30000</v>
      </c>
      <c r="G46" s="161"/>
      <c r="H46" s="204" t="s">
        <v>335</v>
      </c>
    </row>
    <row r="47" customFormat="false" ht="18.75" hidden="false" customHeight="true" outlineLevel="0" collapsed="false">
      <c r="A47" s="205" t="s">
        <v>336</v>
      </c>
      <c r="B47" s="205"/>
      <c r="C47" s="206"/>
      <c r="D47" s="207" t="n">
        <f aca="false">D44+D45+D46</f>
        <v>55000</v>
      </c>
      <c r="E47" s="207" t="n">
        <f aca="false">E44+E45+E46</f>
        <v>110000</v>
      </c>
      <c r="F47" s="208" t="n">
        <f aca="false">F44+F45+F46</f>
        <v>80000</v>
      </c>
      <c r="G47" s="209" t="n">
        <f aca="false">G44+G45+G46</f>
        <v>0</v>
      </c>
      <c r="H47" s="206"/>
    </row>
    <row r="48" customFormat="false" ht="4.5" hidden="false" customHeight="true" outlineLevel="0" collapsed="false">
      <c r="A48" s="60"/>
      <c r="B48" s="60"/>
      <c r="C48" s="60"/>
      <c r="D48" s="60"/>
      <c r="E48" s="60"/>
      <c r="F48" s="60"/>
      <c r="G48" s="60"/>
      <c r="H48" s="60"/>
    </row>
    <row r="49" customFormat="false" ht="24" hidden="false" customHeight="true" outlineLevel="0" collapsed="false">
      <c r="A49" s="210" t="s">
        <v>337</v>
      </c>
      <c r="B49" s="210"/>
      <c r="C49" s="210"/>
      <c r="D49" s="210"/>
      <c r="E49" s="210"/>
      <c r="F49" s="210"/>
      <c r="G49" s="210"/>
      <c r="H49" s="210"/>
    </row>
    <row r="50" customFormat="false" ht="19.5" hidden="false" customHeight="true" outlineLevel="0" collapsed="false">
      <c r="A50" s="211" t="s">
        <v>338</v>
      </c>
      <c r="B50" s="211"/>
      <c r="C50" s="211" t="s">
        <v>339</v>
      </c>
      <c r="D50" s="211" t="s">
        <v>340</v>
      </c>
      <c r="E50" s="211" t="s">
        <v>341</v>
      </c>
      <c r="F50" s="211" t="s">
        <v>342</v>
      </c>
      <c r="G50" s="211" t="s">
        <v>343</v>
      </c>
    </row>
    <row r="51" customFormat="false" ht="18" hidden="false" customHeight="true" outlineLevel="0" collapsed="false">
      <c r="A51" s="212" t="s">
        <v>344</v>
      </c>
      <c r="B51" s="212"/>
      <c r="C51" s="213" t="n">
        <f aca="false">D12</f>
        <v>9000</v>
      </c>
      <c r="D51" s="213" t="n">
        <v>13500</v>
      </c>
      <c r="E51" s="160" t="n">
        <v>12150</v>
      </c>
      <c r="F51" s="214" t="n">
        <v>13500</v>
      </c>
      <c r="G51" s="215" t="n">
        <v>0.038571</v>
      </c>
      <c r="H51" s="215"/>
    </row>
    <row r="52" customFormat="false" ht="18" hidden="false" customHeight="true" outlineLevel="0" collapsed="false">
      <c r="A52" s="216" t="s">
        <v>345</v>
      </c>
      <c r="B52" s="216"/>
      <c r="C52" s="217" t="n">
        <f aca="false">D22</f>
        <v>12350</v>
      </c>
      <c r="D52" s="217" t="n">
        <f aca="false">E22</f>
        <v>22800</v>
      </c>
      <c r="E52" s="179" t="n">
        <f aca="false">F22</f>
        <v>16500</v>
      </c>
      <c r="F52" s="218" t="n">
        <f aca="false">E52/350000</f>
        <v>0.0471428571428571</v>
      </c>
      <c r="G52" s="219"/>
      <c r="H52" s="219"/>
    </row>
    <row r="53" customFormat="false" ht="18" hidden="false" customHeight="true" outlineLevel="0" collapsed="false">
      <c r="A53" s="220" t="s">
        <v>346</v>
      </c>
      <c r="B53" s="220"/>
      <c r="C53" s="221" t="n">
        <f aca="false">D40</f>
        <v>89000</v>
      </c>
      <c r="D53" s="221" t="n">
        <f aca="false">E40</f>
        <v>222500</v>
      </c>
      <c r="E53" s="191" t="n">
        <f aca="false">F40</f>
        <v>147000</v>
      </c>
      <c r="F53" s="222" t="n">
        <f aca="false">E53/350000</f>
        <v>0.42</v>
      </c>
      <c r="G53" s="223"/>
      <c r="H53" s="223"/>
    </row>
    <row r="54" customFormat="false" ht="18" hidden="false" customHeight="true" outlineLevel="0" collapsed="false">
      <c r="A54" s="224" t="s">
        <v>347</v>
      </c>
      <c r="B54" s="224"/>
      <c r="C54" s="225" t="n">
        <f aca="false">D47</f>
        <v>55000</v>
      </c>
      <c r="D54" s="225" t="n">
        <f aca="false">E47</f>
        <v>110000</v>
      </c>
      <c r="E54" s="121" t="n">
        <f aca="false">F47</f>
        <v>80000</v>
      </c>
      <c r="F54" s="226" t="n">
        <f aca="false">E54/350000</f>
        <v>0.228571428571429</v>
      </c>
      <c r="G54" s="227"/>
      <c r="H54" s="227"/>
    </row>
    <row r="55" customFormat="false" ht="3" hidden="false" customHeight="true" outlineLevel="0" collapsed="false">
      <c r="A55" s="60"/>
      <c r="B55" s="60"/>
      <c r="C55" s="60"/>
      <c r="D55" s="60"/>
      <c r="E55" s="60"/>
      <c r="F55" s="60"/>
      <c r="G55" s="60"/>
      <c r="H55" s="60"/>
    </row>
    <row r="56" customFormat="false" ht="21.75" hidden="false" customHeight="true" outlineLevel="0" collapsed="false">
      <c r="A56" s="228" t="s">
        <v>348</v>
      </c>
      <c r="B56" s="228"/>
      <c r="C56" s="229"/>
      <c r="D56" s="229"/>
      <c r="E56" s="230" t="n">
        <v>231300</v>
      </c>
      <c r="F56" s="231" t="n">
        <v>257000</v>
      </c>
      <c r="G56" s="229" t="n">
        <v>0.734286</v>
      </c>
      <c r="H56" s="229"/>
    </row>
    <row r="57" customFormat="false" ht="21.75" hidden="false" customHeight="true" outlineLevel="0" collapsed="false">
      <c r="A57" s="232" t="s">
        <v>349</v>
      </c>
      <c r="B57" s="232"/>
      <c r="C57" s="233"/>
      <c r="D57" s="233"/>
      <c r="E57" s="234" t="n">
        <v>350000</v>
      </c>
      <c r="F57" s="233"/>
      <c r="G57" s="233"/>
      <c r="H57" s="233"/>
    </row>
    <row r="58" customFormat="false" ht="21.75" hidden="false" customHeight="true" outlineLevel="0" collapsed="false">
      <c r="A58" s="235" t="s">
        <v>350</v>
      </c>
      <c r="B58" s="235"/>
      <c r="C58" s="236"/>
      <c r="D58" s="236"/>
      <c r="E58" s="237" t="n">
        <v>94350</v>
      </c>
      <c r="F58" s="238" t="n">
        <v>93000</v>
      </c>
      <c r="G58" s="236" t="n">
        <v>0.265714</v>
      </c>
      <c r="H58" s="236"/>
    </row>
    <row r="59" customFormat="false" ht="4.5" hidden="false" customHeight="true" outlineLevel="0" collapsed="false">
      <c r="A59" s="60"/>
      <c r="B59" s="60"/>
      <c r="C59" s="60"/>
      <c r="D59" s="60"/>
      <c r="E59" s="60"/>
      <c r="F59" s="60"/>
      <c r="G59" s="60"/>
      <c r="H59" s="60"/>
    </row>
    <row r="60" customFormat="false" ht="21.75" hidden="false" customHeight="true" outlineLevel="0" collapsed="false">
      <c r="A60" s="113" t="s">
        <v>351</v>
      </c>
      <c r="B60" s="113"/>
      <c r="C60" s="113"/>
      <c r="D60" s="113"/>
      <c r="E60" s="113"/>
      <c r="F60" s="113"/>
      <c r="G60" s="113"/>
      <c r="H60" s="113"/>
    </row>
    <row r="61" customFormat="false" ht="13.5" hidden="false" customHeight="true" outlineLevel="0" collapsed="false">
      <c r="A61" s="239" t="s">
        <v>352</v>
      </c>
      <c r="B61" s="239"/>
      <c r="C61" s="239"/>
      <c r="D61" s="239"/>
      <c r="E61" s="239"/>
      <c r="F61" s="239"/>
      <c r="G61" s="239"/>
      <c r="H61" s="239"/>
    </row>
    <row r="62" customFormat="false" ht="16.5" hidden="false" customHeight="true" outlineLevel="0" collapsed="false">
      <c r="A62" s="240" t="s">
        <v>353</v>
      </c>
      <c r="B62" s="241" t="s">
        <v>354</v>
      </c>
      <c r="C62" s="241"/>
      <c r="D62" s="241"/>
      <c r="E62" s="242" t="s">
        <v>355</v>
      </c>
      <c r="F62" s="242"/>
      <c r="G62" s="242"/>
      <c r="H62" s="242"/>
    </row>
    <row r="63" customFormat="false" ht="16.5" hidden="false" customHeight="true" outlineLevel="0" collapsed="false">
      <c r="A63" s="240" t="s">
        <v>353</v>
      </c>
      <c r="B63" s="241" t="s">
        <v>356</v>
      </c>
      <c r="C63" s="241"/>
      <c r="D63" s="241"/>
      <c r="E63" s="242" t="s">
        <v>357</v>
      </c>
      <c r="F63" s="242"/>
      <c r="G63" s="242"/>
      <c r="H63" s="242"/>
    </row>
    <row r="64" customFormat="false" ht="16.5" hidden="false" customHeight="true" outlineLevel="0" collapsed="false">
      <c r="A64" s="240" t="s">
        <v>353</v>
      </c>
      <c r="B64" s="241" t="s">
        <v>358</v>
      </c>
      <c r="C64" s="241"/>
      <c r="D64" s="241"/>
      <c r="E64" s="242" t="s">
        <v>359</v>
      </c>
      <c r="F64" s="242"/>
      <c r="G64" s="242"/>
      <c r="H64" s="242"/>
    </row>
    <row r="65" customFormat="false" ht="16.5" hidden="false" customHeight="true" outlineLevel="0" collapsed="false">
      <c r="A65" s="240" t="s">
        <v>353</v>
      </c>
      <c r="B65" s="241" t="s">
        <v>360</v>
      </c>
      <c r="C65" s="241"/>
      <c r="D65" s="241"/>
      <c r="E65" s="242" t="s">
        <v>361</v>
      </c>
      <c r="F65" s="242"/>
      <c r="G65" s="242"/>
      <c r="H65" s="242"/>
    </row>
    <row r="66" customFormat="false" ht="16.5" hidden="false" customHeight="true" outlineLevel="0" collapsed="false">
      <c r="A66" s="240" t="s">
        <v>353</v>
      </c>
      <c r="B66" s="241" t="s">
        <v>362</v>
      </c>
      <c r="C66" s="241"/>
      <c r="D66" s="241"/>
      <c r="E66" s="242" t="s">
        <v>363</v>
      </c>
      <c r="F66" s="242"/>
      <c r="G66" s="242"/>
      <c r="H66" s="242"/>
    </row>
    <row r="67" customFormat="false" ht="16.5" hidden="false" customHeight="true" outlineLevel="0" collapsed="false">
      <c r="A67" s="240" t="s">
        <v>353</v>
      </c>
      <c r="B67" s="241" t="s">
        <v>364</v>
      </c>
      <c r="C67" s="241"/>
      <c r="D67" s="241"/>
      <c r="E67" s="242" t="s">
        <v>365</v>
      </c>
      <c r="F67" s="242"/>
      <c r="G67" s="242"/>
      <c r="H67" s="242"/>
    </row>
    <row r="68" customFormat="false" ht="16.5" hidden="false" customHeight="true" outlineLevel="0" collapsed="false">
      <c r="A68" s="243" t="s">
        <v>366</v>
      </c>
      <c r="B68" s="244" t="s">
        <v>367</v>
      </c>
      <c r="C68" s="244"/>
      <c r="D68" s="244"/>
      <c r="E68" s="245" t="s">
        <v>368</v>
      </c>
      <c r="F68" s="245"/>
      <c r="G68" s="245"/>
      <c r="H68" s="245"/>
    </row>
    <row r="69" customFormat="false" ht="16.5" hidden="false" customHeight="true" outlineLevel="0" collapsed="false">
      <c r="A69" s="243" t="s">
        <v>366</v>
      </c>
      <c r="B69" s="244" t="s">
        <v>369</v>
      </c>
      <c r="C69" s="244"/>
      <c r="D69" s="244"/>
      <c r="E69" s="245" t="s">
        <v>368</v>
      </c>
      <c r="F69" s="245"/>
      <c r="G69" s="245"/>
      <c r="H69" s="245"/>
    </row>
    <row r="70" customFormat="false" ht="4.5" hidden="false" customHeight="true" outlineLevel="0" collapsed="false">
      <c r="A70" s="60"/>
      <c r="B70" s="60"/>
      <c r="C70" s="60"/>
      <c r="D70" s="60"/>
      <c r="E70" s="60"/>
      <c r="F70" s="60"/>
      <c r="G70" s="60"/>
      <c r="H70" s="60"/>
    </row>
    <row r="71" customFormat="false" ht="12.75" hidden="false" customHeight="true" outlineLevel="0" collapsed="false">
      <c r="A71" s="117" t="s">
        <v>370</v>
      </c>
      <c r="B71" s="117"/>
      <c r="C71" s="117"/>
      <c r="D71" s="117"/>
      <c r="E71" s="117"/>
      <c r="F71" s="117"/>
      <c r="G71" s="117"/>
      <c r="H71" s="117"/>
    </row>
    <row r="72" customFormat="false" ht="12.75" hidden="false" customHeight="true" outlineLevel="0" collapsed="false">
      <c r="A72" s="117" t="s">
        <v>371</v>
      </c>
      <c r="B72" s="117"/>
      <c r="C72" s="117"/>
      <c r="D72" s="117"/>
      <c r="E72" s="117"/>
      <c r="F72" s="117"/>
      <c r="G72" s="117"/>
      <c r="H72" s="117"/>
    </row>
    <row r="73" customFormat="false" ht="12.75" hidden="false" customHeight="true" outlineLevel="0" collapsed="false">
      <c r="A73" s="117" t="s">
        <v>372</v>
      </c>
      <c r="B73" s="117"/>
      <c r="C73" s="117"/>
      <c r="D73" s="117"/>
      <c r="E73" s="117"/>
      <c r="F73" s="117"/>
      <c r="G73" s="117"/>
      <c r="H73" s="117"/>
    </row>
    <row r="74" customFormat="false" ht="12.75" hidden="false" customHeight="true" outlineLevel="0" collapsed="false">
      <c r="A74" s="117" t="s">
        <v>373</v>
      </c>
      <c r="B74" s="117"/>
      <c r="C74" s="117"/>
      <c r="D74" s="117"/>
      <c r="E74" s="117"/>
      <c r="F74" s="117"/>
      <c r="G74" s="117"/>
      <c r="H74" s="117"/>
    </row>
  </sheetData>
  <mergeCells count="41">
    <mergeCell ref="A1:H1"/>
    <mergeCell ref="A2:H2"/>
    <mergeCell ref="A4:H4"/>
    <mergeCell ref="A12:B12"/>
    <mergeCell ref="A14:H14"/>
    <mergeCell ref="A22:B22"/>
    <mergeCell ref="A24:H24"/>
    <mergeCell ref="A40:B40"/>
    <mergeCell ref="A42:H42"/>
    <mergeCell ref="A47:B47"/>
    <mergeCell ref="A49:H49"/>
    <mergeCell ref="A50:B50"/>
    <mergeCell ref="A51:B51"/>
    <mergeCell ref="A52:B52"/>
    <mergeCell ref="A53:B53"/>
    <mergeCell ref="A54:B54"/>
    <mergeCell ref="A56:B56"/>
    <mergeCell ref="A57:B57"/>
    <mergeCell ref="A58:B58"/>
    <mergeCell ref="A60:H60"/>
    <mergeCell ref="A61:H61"/>
    <mergeCell ref="B62:D62"/>
    <mergeCell ref="E62:H62"/>
    <mergeCell ref="B63:D63"/>
    <mergeCell ref="E63:H63"/>
    <mergeCell ref="B64:D64"/>
    <mergeCell ref="E64:H64"/>
    <mergeCell ref="B65:D65"/>
    <mergeCell ref="E65:H65"/>
    <mergeCell ref="B66:D66"/>
    <mergeCell ref="E66:H66"/>
    <mergeCell ref="B67:D67"/>
    <mergeCell ref="E67:H67"/>
    <mergeCell ref="B68:D68"/>
    <mergeCell ref="E68:H68"/>
    <mergeCell ref="B69:D69"/>
    <mergeCell ref="E69:H69"/>
    <mergeCell ref="A71:H71"/>
    <mergeCell ref="A72:H72"/>
    <mergeCell ref="A73:H73"/>
    <mergeCell ref="A74:H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2026-02-19T07:36:04Z</dcterms:created>
  <dc:creator>openpyxl</dc:creator>
  <dc:description/>
  <dc:language>en-US</dc:language>
  <cp:lastModifiedBy/>
  <dcterms:modified xsi:type="dcterms:W3CDTF">2026-03-18T11:57:42Z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